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125"/>
  <workbookPr date1904="1" showInkAnnotation="0" autoCompressPictures="0"/>
  <bookViews>
    <workbookView xWindow="0" yWindow="0" windowWidth="28740" windowHeight="17540" tabRatio="500"/>
  </bookViews>
  <sheets>
    <sheet name="T_n" sheetId="24" r:id="rId1"/>
  </sheets>
  <definedNames>
    <definedName name="ENV_DATA">OFFSET(#REF!,0,0,COUNT(#REF!),1)</definedName>
    <definedName name="FOIL.LINE.A_HELD__WPN" localSheetId="0">T_n!#REF!</definedName>
    <definedName name="N_ENV_DATA">OFFSET(#REF!,0,0,COUNT(#REF!),1)</definedName>
    <definedName name="N_RAWDATA">OFFSET(#REF!,0,0,COUNT(#REF!),1)</definedName>
    <definedName name="OCCURDATA">OFFSET(#REF!,0,0,COUNT(#REF!),1)</definedName>
    <definedName name="RAWDATA">OFFSET(#REF!,0,0,COUNT(#REF!),1)</definedName>
    <definedName name="REFDATA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25" i="24" l="1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R43" i="24"/>
  <c r="Q43" i="24"/>
  <c r="O43" i="24"/>
  <c r="N43" i="24"/>
  <c r="L43" i="24"/>
  <c r="K43" i="24"/>
  <c r="I43" i="24"/>
  <c r="H43" i="24"/>
  <c r="F43" i="24"/>
  <c r="E43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R42" i="24"/>
  <c r="Q42" i="24"/>
  <c r="O42" i="24"/>
  <c r="N42" i="24"/>
  <c r="L42" i="24"/>
  <c r="K42" i="24"/>
  <c r="I42" i="24"/>
  <c r="H42" i="24"/>
  <c r="F42" i="24"/>
  <c r="E42" i="24"/>
  <c r="R41" i="24"/>
  <c r="Q41" i="24"/>
  <c r="O41" i="24"/>
  <c r="N41" i="24"/>
  <c r="L41" i="24"/>
  <c r="K41" i="24"/>
  <c r="I41" i="24"/>
  <c r="H41" i="24"/>
  <c r="F41" i="24"/>
  <c r="E41" i="24"/>
  <c r="R40" i="24"/>
  <c r="Q40" i="24"/>
  <c r="O40" i="24"/>
  <c r="N40" i="24"/>
  <c r="L40" i="24"/>
  <c r="K40" i="24"/>
  <c r="I40" i="24"/>
  <c r="H40" i="24"/>
  <c r="F40" i="24"/>
  <c r="E40" i="24"/>
  <c r="R39" i="24"/>
  <c r="Q39" i="24"/>
  <c r="O39" i="24"/>
  <c r="N39" i="24"/>
  <c r="L39" i="24"/>
  <c r="K39" i="24"/>
  <c r="I39" i="24"/>
  <c r="H39" i="24"/>
  <c r="F39" i="24"/>
  <c r="E39" i="24"/>
  <c r="R38" i="24"/>
  <c r="Q38" i="24"/>
  <c r="O38" i="24"/>
  <c r="N38" i="24"/>
  <c r="L38" i="24"/>
  <c r="K38" i="24"/>
  <c r="I38" i="24"/>
  <c r="H38" i="24"/>
  <c r="F38" i="24"/>
  <c r="E38" i="24"/>
  <c r="R37" i="24"/>
  <c r="Q37" i="24"/>
  <c r="O37" i="24"/>
  <c r="N37" i="24"/>
  <c r="L37" i="24"/>
  <c r="K37" i="24"/>
  <c r="I37" i="24"/>
  <c r="H37" i="24"/>
  <c r="F37" i="24"/>
  <c r="E37" i="24"/>
  <c r="R36" i="24"/>
  <c r="Q36" i="24"/>
  <c r="O36" i="24"/>
  <c r="N36" i="24"/>
  <c r="L36" i="24"/>
  <c r="K36" i="24"/>
  <c r="I36" i="24"/>
  <c r="H36" i="24"/>
  <c r="F36" i="24"/>
  <c r="E36" i="24"/>
  <c r="R35" i="24"/>
  <c r="Q35" i="24"/>
  <c r="O35" i="24"/>
  <c r="N35" i="24"/>
  <c r="L35" i="24"/>
  <c r="K35" i="24"/>
  <c r="I35" i="24"/>
  <c r="H35" i="24"/>
  <c r="F35" i="24"/>
  <c r="E35" i="24"/>
  <c r="R34" i="24"/>
  <c r="Q34" i="24"/>
  <c r="O34" i="24"/>
  <c r="N34" i="24"/>
  <c r="L34" i="24"/>
  <c r="K34" i="24"/>
  <c r="I34" i="24"/>
  <c r="H34" i="24"/>
  <c r="F34" i="24"/>
  <c r="E34" i="24"/>
  <c r="R33" i="24"/>
  <c r="Q33" i="24"/>
  <c r="O33" i="24"/>
  <c r="N33" i="24"/>
  <c r="L33" i="24"/>
  <c r="K33" i="24"/>
  <c r="I33" i="24"/>
  <c r="H33" i="24"/>
  <c r="F33" i="24"/>
  <c r="E33" i="24"/>
  <c r="R32" i="24"/>
  <c r="Q32" i="24"/>
  <c r="O32" i="24"/>
  <c r="N32" i="24"/>
  <c r="L32" i="24"/>
  <c r="K32" i="24"/>
  <c r="I32" i="24"/>
  <c r="H32" i="24"/>
  <c r="F32" i="24"/>
  <c r="E32" i="24"/>
  <c r="R31" i="24"/>
  <c r="Q31" i="24"/>
  <c r="O31" i="24"/>
  <c r="N31" i="24"/>
  <c r="L31" i="24"/>
  <c r="K31" i="24"/>
  <c r="I31" i="24"/>
  <c r="H31" i="24"/>
  <c r="F31" i="24"/>
  <c r="E31" i="24"/>
  <c r="R30" i="24"/>
  <c r="Q30" i="24"/>
  <c r="O30" i="24"/>
  <c r="N30" i="24"/>
  <c r="L30" i="24"/>
  <c r="K30" i="24"/>
  <c r="I30" i="24"/>
  <c r="H30" i="24"/>
  <c r="F30" i="24"/>
  <c r="E30" i="24"/>
  <c r="R29" i="24"/>
  <c r="Q29" i="24"/>
  <c r="O29" i="24"/>
  <c r="N29" i="24"/>
  <c r="L29" i="24"/>
  <c r="K29" i="24"/>
  <c r="I29" i="24"/>
  <c r="H29" i="24"/>
  <c r="F29" i="24"/>
  <c r="E29" i="24"/>
  <c r="R28" i="24"/>
  <c r="Q28" i="24"/>
  <c r="O28" i="24"/>
  <c r="N28" i="24"/>
  <c r="L28" i="24"/>
  <c r="K28" i="24"/>
  <c r="I28" i="24"/>
  <c r="H28" i="24"/>
  <c r="F28" i="24"/>
  <c r="E28" i="24"/>
  <c r="R27" i="24"/>
  <c r="Q27" i="24"/>
  <c r="O27" i="24"/>
  <c r="N27" i="24"/>
  <c r="L27" i="24"/>
  <c r="K27" i="24"/>
  <c r="I27" i="24"/>
  <c r="H27" i="24"/>
  <c r="F27" i="24"/>
  <c r="E27" i="24"/>
  <c r="R26" i="24"/>
  <c r="Q26" i="24"/>
  <c r="O26" i="24"/>
  <c r="N26" i="24"/>
  <c r="L26" i="24"/>
  <c r="K26" i="24"/>
  <c r="I26" i="24"/>
  <c r="H26" i="24"/>
  <c r="F26" i="24"/>
  <c r="E26" i="24"/>
  <c r="R25" i="24"/>
  <c r="Q25" i="24"/>
  <c r="N25" i="24"/>
  <c r="L25" i="24"/>
  <c r="K25" i="24"/>
  <c r="I25" i="24"/>
  <c r="H25" i="24"/>
  <c r="F25" i="24"/>
  <c r="E25" i="24"/>
  <c r="R24" i="24"/>
  <c r="Q24" i="24"/>
  <c r="O24" i="24"/>
  <c r="N24" i="24"/>
  <c r="L24" i="24"/>
  <c r="K24" i="24"/>
  <c r="I24" i="24"/>
  <c r="H24" i="24"/>
  <c r="F24" i="24"/>
  <c r="E24" i="24"/>
  <c r="R23" i="24"/>
  <c r="Q23" i="24"/>
  <c r="O23" i="24"/>
  <c r="N23" i="24"/>
  <c r="L23" i="24"/>
  <c r="K23" i="24"/>
  <c r="I23" i="24"/>
  <c r="H23" i="24"/>
  <c r="F23" i="24"/>
  <c r="E23" i="24"/>
  <c r="R22" i="24"/>
  <c r="Q22" i="24"/>
  <c r="O22" i="24"/>
  <c r="N22" i="24"/>
  <c r="L22" i="24"/>
  <c r="K22" i="24"/>
  <c r="I22" i="24"/>
  <c r="H22" i="24"/>
  <c r="F22" i="24"/>
  <c r="E22" i="24"/>
  <c r="R21" i="24"/>
  <c r="Q21" i="24"/>
  <c r="O21" i="24"/>
  <c r="N21" i="24"/>
  <c r="L21" i="24"/>
  <c r="K21" i="24"/>
  <c r="I21" i="24"/>
  <c r="H21" i="24"/>
  <c r="F21" i="24"/>
  <c r="E21" i="24"/>
  <c r="R20" i="24"/>
  <c r="Q20" i="24"/>
  <c r="O20" i="24"/>
  <c r="N20" i="24"/>
  <c r="L20" i="24"/>
  <c r="K20" i="24"/>
  <c r="I20" i="24"/>
  <c r="H20" i="24"/>
  <c r="F20" i="24"/>
  <c r="E20" i="24"/>
  <c r="R19" i="24"/>
  <c r="Q19" i="24"/>
  <c r="O19" i="24"/>
  <c r="N19" i="24"/>
  <c r="L19" i="24"/>
  <c r="K19" i="24"/>
  <c r="I19" i="24"/>
  <c r="H19" i="24"/>
  <c r="F19" i="24"/>
  <c r="E19" i="24"/>
  <c r="R18" i="24"/>
  <c r="Q18" i="24"/>
  <c r="O18" i="24"/>
  <c r="N18" i="24"/>
  <c r="L18" i="24"/>
  <c r="K18" i="24"/>
  <c r="I18" i="24"/>
  <c r="H18" i="24"/>
  <c r="F18" i="24"/>
  <c r="E18" i="24"/>
  <c r="R17" i="24"/>
  <c r="Q17" i="24"/>
  <c r="O17" i="24"/>
  <c r="N17" i="24"/>
  <c r="L17" i="24"/>
  <c r="K17" i="24"/>
  <c r="I17" i="24"/>
  <c r="H17" i="24"/>
  <c r="F17" i="24"/>
  <c r="E17" i="24"/>
  <c r="R16" i="24"/>
  <c r="Q16" i="24"/>
  <c r="O16" i="24"/>
  <c r="N16" i="24"/>
  <c r="L16" i="24"/>
  <c r="K16" i="24"/>
  <c r="I16" i="24"/>
  <c r="H16" i="24"/>
  <c r="F16" i="24"/>
  <c r="E16" i="24"/>
  <c r="R15" i="24"/>
  <c r="Q15" i="24"/>
  <c r="O15" i="24"/>
  <c r="N15" i="24"/>
  <c r="L15" i="24"/>
  <c r="K15" i="24"/>
  <c r="I15" i="24"/>
  <c r="H15" i="24"/>
  <c r="F15" i="24"/>
  <c r="E15" i="24"/>
  <c r="R14" i="24"/>
  <c r="Q14" i="24"/>
  <c r="O14" i="24"/>
  <c r="N14" i="24"/>
  <c r="L14" i="24"/>
  <c r="K14" i="24"/>
  <c r="I14" i="24"/>
  <c r="H14" i="24"/>
  <c r="F14" i="24"/>
  <c r="E14" i="24"/>
  <c r="R13" i="24"/>
  <c r="Q13" i="24"/>
  <c r="O13" i="24"/>
  <c r="N13" i="24"/>
  <c r="L13" i="24"/>
  <c r="K13" i="24"/>
  <c r="I13" i="24"/>
  <c r="H13" i="24"/>
  <c r="F13" i="24"/>
  <c r="E13" i="24"/>
  <c r="R12" i="24"/>
  <c r="Q12" i="24"/>
  <c r="O12" i="24"/>
  <c r="N12" i="24"/>
  <c r="L12" i="24"/>
  <c r="K12" i="24"/>
  <c r="I12" i="24"/>
  <c r="H12" i="24"/>
  <c r="F12" i="24"/>
  <c r="E12" i="24"/>
  <c r="R11" i="24"/>
  <c r="Q11" i="24"/>
  <c r="O11" i="24"/>
  <c r="N11" i="24"/>
  <c r="L11" i="24"/>
  <c r="K11" i="24"/>
  <c r="I11" i="24"/>
  <c r="H11" i="24"/>
  <c r="F11" i="24"/>
  <c r="E11" i="24"/>
  <c r="R10" i="24"/>
  <c r="Q10" i="24"/>
  <c r="O10" i="24"/>
  <c r="N10" i="24"/>
  <c r="L10" i="24"/>
  <c r="K10" i="24"/>
  <c r="I10" i="24"/>
  <c r="H10" i="24"/>
  <c r="F10" i="24"/>
  <c r="E10" i="24"/>
  <c r="R9" i="24"/>
  <c r="Q9" i="24"/>
  <c r="O9" i="24"/>
  <c r="N9" i="24"/>
  <c r="L9" i="24"/>
  <c r="K9" i="24"/>
  <c r="I9" i="24"/>
  <c r="H9" i="24"/>
  <c r="F9" i="24"/>
  <c r="E9" i="24"/>
  <c r="R8" i="24"/>
  <c r="Q8" i="24"/>
  <c r="O8" i="24"/>
  <c r="N8" i="24"/>
  <c r="L8" i="24"/>
  <c r="K8" i="24"/>
  <c r="I8" i="24"/>
  <c r="H8" i="24"/>
  <c r="F8" i="24"/>
  <c r="E8" i="24"/>
  <c r="R7" i="24"/>
  <c r="Q7" i="24"/>
  <c r="O7" i="24"/>
  <c r="N7" i="24"/>
  <c r="L7" i="24"/>
  <c r="K7" i="24"/>
  <c r="I7" i="24"/>
  <c r="H7" i="24"/>
  <c r="F7" i="24"/>
  <c r="E7" i="24"/>
  <c r="R6" i="24"/>
  <c r="Q6" i="24"/>
  <c r="O6" i="24"/>
  <c r="N6" i="24"/>
  <c r="L6" i="24"/>
  <c r="K6" i="24"/>
  <c r="I6" i="24"/>
  <c r="H6" i="24"/>
  <c r="F6" i="24"/>
  <c r="E6" i="24"/>
  <c r="C5" i="24"/>
  <c r="R5" i="24"/>
  <c r="Q5" i="24"/>
  <c r="O5" i="24"/>
  <c r="N5" i="24"/>
  <c r="L5" i="24"/>
  <c r="K5" i="24"/>
  <c r="I5" i="24"/>
  <c r="H5" i="24"/>
  <c r="F5" i="24"/>
  <c r="E5" i="24"/>
  <c r="B5" i="24"/>
  <c r="R4" i="24"/>
  <c r="Q4" i="24"/>
  <c r="O4" i="24"/>
  <c r="N4" i="24"/>
  <c r="L4" i="24"/>
  <c r="K4" i="24"/>
  <c r="I4" i="24"/>
  <c r="H4" i="24"/>
  <c r="F4" i="24"/>
  <c r="E4" i="24"/>
  <c r="R3" i="24"/>
  <c r="Q3" i="24"/>
  <c r="O3" i="24"/>
  <c r="N3" i="24"/>
  <c r="L3" i="24"/>
  <c r="K3" i="24"/>
  <c r="I3" i="24"/>
  <c r="H3" i="24"/>
  <c r="F3" i="24"/>
  <c r="E3" i="24"/>
</calcChain>
</file>

<file path=xl/connections.xml><?xml version="1.0" encoding="utf-8"?>
<connections xmlns="http://schemas.openxmlformats.org/spreadsheetml/2006/main">
  <connection id="1" name="EPEE.LINE.C-HELD.csv" type="6" refreshedVersion="0" background="1" saveData="1">
    <textPr fileType="mac" sourceFile="Macintosh:Users:jeromedrouin:Documents:Arduino:Projects:WORK_CapacitiveSensors:Weapon Data:Weapon Data - DISTRIBUTION:EPEE.LINE.C-HELD.csv" comma="1" semicolon="1">
      <textFields count="5">
        <textField/>
        <textField/>
        <textField/>
        <textField/>
        <textField/>
      </textFields>
    </textPr>
  </connection>
  <connection id="2" name="FOIL.LINE.A-HELD +WPN.csv" type="6" refreshedVersion="0" background="1" saveData="1">
    <textPr fileType="mac" sourceFile="Macintosh:Users:jeromedrouin:Documents:Arduino:Projects:WORK_CapacitiveSensors:Weapon Data:Weapon Data - DISTRIBUTION:FOIL.LINE.A-HELD +WPN.csv" comma="1" semicolon="1">
      <textFields count="5">
        <textField/>
        <textField/>
        <textField/>
        <textField/>
        <textField/>
      </textFields>
    </textPr>
  </connection>
  <connection id="3" name="FOIL.LINE.A-HELD.csv" type="6" refreshedVersion="0" background="1" saveData="1">
    <textPr fileType="mac" sourceFile="Macintosh:Users:jeromedrouin:Documents:Arduino:Projects:WORK_CapacitiveSensors:Weapon Data:Weapon Data - DISTRIBUTION:FOIL.LINE.A-HELD.csv" comma="1" semicolon="1">
      <textFields count="5">
        <textField/>
        <textField/>
        <textField/>
        <textField/>
        <textField/>
      </textFields>
    </textPr>
  </connection>
  <connection id="4" name="FOIL.LINE.C-HELD.csv" type="6" refreshedVersion="0" background="1" saveData="1">
    <textPr fileType="mac" sourceFile="Macintosh:Users:jeromedrouin:Documents:Arduino:Projects:WORK_CapacitiveSensors:Weapon Data:Weapon Data - DISTRIBUTION:FOIL.LINE.C-HELD.csv" comma="1" semicolon="1">
      <textFields count="5">
        <textField/>
        <textField/>
        <textField/>
        <textField/>
        <textField/>
      </textFields>
    </textPr>
  </connection>
  <connection id="5" name="RAW.csv" type="6" refreshedVersion="0" background="1" saveData="1">
    <textPr fileType="mac" sourceFile="Macintosh:Users:jeromedrouin:Downloads:RAW.csv" tab="0" semicolon="1" qualifier="none">
      <textFields count="4">
        <textField/>
        <textField/>
        <textField/>
        <textField/>
      </textFields>
    </textPr>
  </connection>
  <connection id="6" name="RAW.txt" type="6" refreshedVersion="0" background="1" saveData="1">
    <textPr fileType="mac" sourceFile="Macintosh:Users:jeromedrouin:Downloads:RAW.txt" space="1" consecutive="1">
      <textFields count="4">
        <textField/>
        <textField/>
        <textField/>
        <textField/>
      </textFields>
    </textPr>
  </connection>
  <connection id="7" name="RAW.txt1" type="6" refreshedVersion="0" background="1" saveData="1">
    <textPr fileType="mac" sourceFile="Macintosh:Users:jeromedrouin:Downloads:RAW.txt" space="1" consecutive="1">
      <textFields count="4">
        <textField/>
        <textField/>
        <textField/>
        <textField/>
      </textFields>
    </textPr>
  </connection>
  <connection id="8" name="raw2.csv" type="6" refreshedVersion="0" background="1" saveData="1">
    <textPr fileType="mac" sourceFile="Macintosh:Users:jeromedrouin:Downloads:raw2.csv" tab="0" semicolon="1">
      <textFields count="4">
        <textField/>
        <textField/>
        <textField/>
        <textField/>
      </textFields>
    </textPr>
  </connection>
  <connection id="9" name="raw3.csv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0" name="raw3.csv1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1" name="raw3.csv2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2" name="raw3.csv3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3" name="raw4.csv" type="6" refreshedVersion="0" background="1" saveData="1">
    <textPr fileType="mac" sourceFile="Macintosh:Users:jeromedrouin:Downloads:raw4.csv" tab="0" semicolon="1">
      <textFields count="4">
        <textField/>
        <textField/>
        <textField/>
        <textField/>
      </textFields>
    </textPr>
  </connection>
  <connection id="14" name="raw4.csv1" type="6" refreshedVersion="0" background="1" saveData="1">
    <textPr fileType="mac" sourceFile="Macintosh:Users:jeromedrouin:Downloads:raw4.csv" tab="0" semicolon="1">
      <textFields count="4">
        <textField/>
        <textField/>
        <textField/>
        <textField/>
      </textFields>
    </textPr>
  </connection>
  <connection id="15" name="raw5.csv" type="6" refreshedVersion="0" background="1" saveData="1">
    <textPr fileType="mac" sourceFile="Macintosh:Users:jeromedrouin:Downloads:raw5.csv" tab="0" semicolon="1">
      <textFields count="4">
        <textField/>
        <textField/>
        <textField/>
        <textField/>
      </textFields>
    </textPr>
  </connection>
  <connection id="16" name="raw5.csv1" type="6" refreshedVersion="0" background="1" saveData="1">
    <textPr fileType="mac" sourceFile="Macintosh:Users:jeromedrouin:Downloads:raw5.csv" tab="0" semicolon="1">
      <textFields count="4">
        <textField/>
        <textField/>
        <textField/>
        <textField/>
      </textFields>
    </textPr>
  </connection>
  <connection id="17" name="Untitled.csv" type="6" refreshedVersion="0" background="1" saveData="1">
    <textPr fileType="mac" sourceFile="Macintosh:Users:jeromedrouin:Downloads:Untitled.csv" comma="1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<sst xmlns="http://schemas.openxmlformats.org/spreadsheetml/2006/main" count="2" uniqueCount="2">
  <si>
    <t>Begin</t>
  </si>
  <si>
    <t>Incr.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</si>
</sst>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"/>
  </numFmts>
  <fonts count="6" x14ac:knownFonts="1">
    <font>
      <sz val="12"/>
      <color theme="1"/>
      <name val="Calibri"/>
      <family val="2"/>
      <charset val="129"/>
      <scheme val="minor"/>
    </font>
    <font>
      <b/>
      <sz val="12"/>
      <color theme="1"/>
      <name val="Calibri"/>
      <family val="2"/>
      <charset val="129"/>
      <scheme val="minor"/>
    </font>
    <font>
      <sz val="12"/>
      <color theme="0"/>
      <name val="Calibri"/>
      <family val="2"/>
      <charset val="129"/>
      <scheme val="minor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  <font>
      <sz val="12"/>
      <color rgb="FF0000FF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46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">
    <xf numFmtId="0" fontId="0" fillId="0" borderId="0" xfId="0"/>
    <xf numFmtId="0" fontId="2" fillId="2" borderId="0" xfId="0" applyFont="1" applyFill="1"/>
    <xf numFmtId="0" fontId="5" fillId="3" borderId="0" xfId="0" applyFont="1" applyFill="1"/>
    <xf numFmtId="164" fontId="1" fillId="0" borderId="0" xfId="0" applyNumberFormat="1" applyFont="1"/>
    <xf numFmtId="165" fontId="0" fillId="0" borderId="0" xfId="0" applyNumberFormat="1"/>
    <xf numFmtId="165" fontId="1" fillId="0" borderId="0" xfId="0" applyNumberFormat="1" applyFont="1"/>
  </cellXfs>
  <cellStyles count="46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607168107483068"/>
          <c:y val="0.0171981030780243"/>
          <c:w val="0.720589998403086"/>
          <c:h val="0.94254190618810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T_n!$H$3</c:f>
              <c:strCache>
                <c:ptCount val="1"/>
                <c:pt idx="0">
                  <c:v>T(n=2)-PDF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T_n!$C$4:$C$43</c:f>
              <c:numCache>
                <c:formatCode>0.000</c:formatCode>
                <c:ptCount val="40"/>
                <c:pt idx="0">
                  <c:v>-5.0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-4.0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-3.0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-2.0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-1.0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0.0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1.0</c:v>
                </c:pt>
                <c:pt idx="25">
                  <c:v>1.25</c:v>
                </c:pt>
                <c:pt idx="26">
                  <c:v>1.5</c:v>
                </c:pt>
                <c:pt idx="27">
                  <c:v>1.75</c:v>
                </c:pt>
                <c:pt idx="28">
                  <c:v>2.0</c:v>
                </c:pt>
                <c:pt idx="29">
                  <c:v>2.25</c:v>
                </c:pt>
                <c:pt idx="30">
                  <c:v>2.5</c:v>
                </c:pt>
                <c:pt idx="31">
                  <c:v>2.75</c:v>
                </c:pt>
                <c:pt idx="32">
                  <c:v>3.0</c:v>
                </c:pt>
                <c:pt idx="33">
                  <c:v>3.25</c:v>
                </c:pt>
                <c:pt idx="34">
                  <c:v>3.5</c:v>
                </c:pt>
                <c:pt idx="35">
                  <c:v>3.75</c:v>
                </c:pt>
                <c:pt idx="36">
                  <c:v>4.0</c:v>
                </c:pt>
                <c:pt idx="37">
                  <c:v>4.25</c:v>
                </c:pt>
                <c:pt idx="38">
                  <c:v>4.5</c:v>
                </c:pt>
                <c:pt idx="39">
                  <c:v>4.75</c:v>
                </c:pt>
              </c:numCache>
            </c:numRef>
          </c:xVal>
          <c:yVal>
            <c:numRef>
              <c:f>T_n!$H$4:$H$43</c:f>
              <c:numCache>
                <c:formatCode>0.000000</c:formatCode>
                <c:ptCount val="40"/>
                <c:pt idx="0">
                  <c:v>0.00712778110110649</c:v>
                </c:pt>
                <c:pt idx="1">
                  <c:v>0.008214689421766</c:v>
                </c:pt>
                <c:pt idx="2">
                  <c:v>0.00952807083151784</c:v>
                </c:pt>
                <c:pt idx="3">
                  <c:v>0.0111281360186606</c:v>
                </c:pt>
                <c:pt idx="4">
                  <c:v>0.0130945700219731</c:v>
                </c:pt>
                <c:pt idx="5">
                  <c:v>0.0155338922721072</c:v>
                </c:pt>
                <c:pt idx="6">
                  <c:v>0.0185899278184568</c:v>
                </c:pt>
                <c:pt idx="7">
                  <c:v>0.0224587658780847</c:v>
                </c:pt>
                <c:pt idx="8">
                  <c:v>0.0274101222343421</c:v>
                </c:pt>
                <c:pt idx="9">
                  <c:v>0.0338176034909048</c:v>
                </c:pt>
                <c:pt idx="10">
                  <c:v>0.042200643868048</c:v>
                </c:pt>
                <c:pt idx="11">
                  <c:v>0.0532797659969471</c:v>
                </c:pt>
                <c:pt idx="12">
                  <c:v>0.0680413817439771</c:v>
                </c:pt>
                <c:pt idx="13">
                  <c:v>0.0877914951989026</c:v>
                </c:pt>
                <c:pt idx="14">
                  <c:v>0.114134411781804</c:v>
                </c:pt>
                <c:pt idx="15">
                  <c:v>0.148719422547654</c:v>
                </c:pt>
                <c:pt idx="16">
                  <c:v>0.192450089729875</c:v>
                </c:pt>
                <c:pt idx="17">
                  <c:v>0.24378343319197</c:v>
                </c:pt>
                <c:pt idx="18">
                  <c:v>0.296296296296296</c:v>
                </c:pt>
                <c:pt idx="19">
                  <c:v>0.337605150944384</c:v>
                </c:pt>
                <c:pt idx="20">
                  <c:v>0.353553390593274</c:v>
                </c:pt>
                <c:pt idx="21">
                  <c:v>0.337605150944384</c:v>
                </c:pt>
                <c:pt idx="22">
                  <c:v>0.296296296296296</c:v>
                </c:pt>
                <c:pt idx="23">
                  <c:v>0.24378343319197</c:v>
                </c:pt>
                <c:pt idx="24">
                  <c:v>0.192450089729875</c:v>
                </c:pt>
                <c:pt idx="25">
                  <c:v>0.148719422547654</c:v>
                </c:pt>
                <c:pt idx="26">
                  <c:v>0.114134411781804</c:v>
                </c:pt>
                <c:pt idx="27">
                  <c:v>0.0877914951989026</c:v>
                </c:pt>
                <c:pt idx="28">
                  <c:v>0.0680413817439771</c:v>
                </c:pt>
                <c:pt idx="29">
                  <c:v>0.0532797659969471</c:v>
                </c:pt>
                <c:pt idx="30">
                  <c:v>0.042200643868048</c:v>
                </c:pt>
                <c:pt idx="31">
                  <c:v>0.0338176034909048</c:v>
                </c:pt>
                <c:pt idx="32">
                  <c:v>0.0274101222343421</c:v>
                </c:pt>
                <c:pt idx="33">
                  <c:v>0.0224587658780847</c:v>
                </c:pt>
                <c:pt idx="34">
                  <c:v>0.0185899278184568</c:v>
                </c:pt>
                <c:pt idx="35">
                  <c:v>0.0155338922721072</c:v>
                </c:pt>
                <c:pt idx="36">
                  <c:v>0.0130945700219731</c:v>
                </c:pt>
                <c:pt idx="37">
                  <c:v>0.0111281360186606</c:v>
                </c:pt>
                <c:pt idx="38">
                  <c:v>0.00952807083151784</c:v>
                </c:pt>
                <c:pt idx="39">
                  <c:v>0.008214689421766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T_n!$K$3</c:f>
              <c:strCache>
                <c:ptCount val="1"/>
                <c:pt idx="0">
                  <c:v>T(n=3)-PDF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T_n!$C$4:$C$43</c:f>
              <c:numCache>
                <c:formatCode>0.000</c:formatCode>
                <c:ptCount val="40"/>
                <c:pt idx="0">
                  <c:v>-5.0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-4.0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-3.0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-2.0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-1.0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0.0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1.0</c:v>
                </c:pt>
                <c:pt idx="25">
                  <c:v>1.25</c:v>
                </c:pt>
                <c:pt idx="26">
                  <c:v>1.5</c:v>
                </c:pt>
                <c:pt idx="27">
                  <c:v>1.75</c:v>
                </c:pt>
                <c:pt idx="28">
                  <c:v>2.0</c:v>
                </c:pt>
                <c:pt idx="29">
                  <c:v>2.25</c:v>
                </c:pt>
                <c:pt idx="30">
                  <c:v>2.5</c:v>
                </c:pt>
                <c:pt idx="31">
                  <c:v>2.75</c:v>
                </c:pt>
                <c:pt idx="32">
                  <c:v>3.0</c:v>
                </c:pt>
                <c:pt idx="33">
                  <c:v>3.25</c:v>
                </c:pt>
                <c:pt idx="34">
                  <c:v>3.5</c:v>
                </c:pt>
                <c:pt idx="35">
                  <c:v>3.75</c:v>
                </c:pt>
                <c:pt idx="36">
                  <c:v>4.0</c:v>
                </c:pt>
                <c:pt idx="37">
                  <c:v>4.25</c:v>
                </c:pt>
                <c:pt idx="38">
                  <c:v>4.5</c:v>
                </c:pt>
                <c:pt idx="39">
                  <c:v>4.75</c:v>
                </c:pt>
              </c:numCache>
            </c:numRef>
          </c:xVal>
          <c:yVal>
            <c:numRef>
              <c:f>T_n!$K$4:$K$43</c:f>
              <c:numCache>
                <c:formatCode>0.000000</c:formatCode>
                <c:ptCount val="40"/>
                <c:pt idx="0">
                  <c:v>0.00421935379149331</c:v>
                </c:pt>
                <c:pt idx="1">
                  <c:v>0.00506238714120476</c:v>
                </c:pt>
                <c:pt idx="2">
                  <c:v>0.00611950213440768</c:v>
                </c:pt>
                <c:pt idx="3">
                  <c:v>0.00745662269957359</c:v>
                </c:pt>
                <c:pt idx="4">
                  <c:v>0.00916336114274447</c:v>
                </c:pt>
                <c:pt idx="5">
                  <c:v>0.0113625727350142</c:v>
                </c:pt>
                <c:pt idx="6">
                  <c:v>0.0142240188015297</c:v>
                </c:pt>
                <c:pt idx="7">
                  <c:v>0.0179838430072389</c:v>
                </c:pt>
                <c:pt idx="8">
                  <c:v>0.0229720373092413</c:v>
                </c:pt>
                <c:pt idx="9">
                  <c:v>0.0296502637641495</c:v>
                </c:pt>
                <c:pt idx="10">
                  <c:v>0.0386614857271673</c:v>
                </c:pt>
                <c:pt idx="11">
                  <c:v>0.0508888398153881</c:v>
                </c:pt>
                <c:pt idx="12">
                  <c:v>0.067509660663893</c:v>
                </c:pt>
                <c:pt idx="13">
                  <c:v>0.0900033142063846</c:v>
                </c:pt>
                <c:pt idx="14">
                  <c:v>0.120017174513587</c:v>
                </c:pt>
                <c:pt idx="15">
                  <c:v>0.158911837749648</c:v>
                </c:pt>
                <c:pt idx="16">
                  <c:v>0.206748335783172</c:v>
                </c:pt>
                <c:pt idx="17">
                  <c:v>0.260646716949176</c:v>
                </c:pt>
                <c:pt idx="18">
                  <c:v>0.313180911008829</c:v>
                </c:pt>
                <c:pt idx="19">
                  <c:v>0.35270353326442</c:v>
                </c:pt>
                <c:pt idx="20">
                  <c:v>0.367552596947861</c:v>
                </c:pt>
                <c:pt idx="21">
                  <c:v>0.35270353326442</c:v>
                </c:pt>
                <c:pt idx="22">
                  <c:v>0.313180911008829</c:v>
                </c:pt>
                <c:pt idx="23">
                  <c:v>0.260646716949176</c:v>
                </c:pt>
                <c:pt idx="24">
                  <c:v>0.206748335783172</c:v>
                </c:pt>
                <c:pt idx="25">
                  <c:v>0.158911837749648</c:v>
                </c:pt>
                <c:pt idx="26">
                  <c:v>0.120017174513587</c:v>
                </c:pt>
                <c:pt idx="27">
                  <c:v>0.0900033142063846</c:v>
                </c:pt>
                <c:pt idx="28">
                  <c:v>0.067509660663893</c:v>
                </c:pt>
                <c:pt idx="29">
                  <c:v>0.0508888398153881</c:v>
                </c:pt>
                <c:pt idx="30">
                  <c:v>0.0386614857271673</c:v>
                </c:pt>
                <c:pt idx="31">
                  <c:v>0.0296502637641495</c:v>
                </c:pt>
                <c:pt idx="32">
                  <c:v>0.0229720373092413</c:v>
                </c:pt>
                <c:pt idx="33">
                  <c:v>0.0179838430072389</c:v>
                </c:pt>
                <c:pt idx="34">
                  <c:v>0.0142240188015297</c:v>
                </c:pt>
                <c:pt idx="35">
                  <c:v>0.0113625727350142</c:v>
                </c:pt>
                <c:pt idx="36">
                  <c:v>0.00916336114274447</c:v>
                </c:pt>
                <c:pt idx="37">
                  <c:v>0.00745662269957359</c:v>
                </c:pt>
                <c:pt idx="38">
                  <c:v>0.00611950213440768</c:v>
                </c:pt>
                <c:pt idx="39">
                  <c:v>0.00506238714120476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T_n!$N$3</c:f>
              <c:strCache>
                <c:ptCount val="1"/>
                <c:pt idx="0">
                  <c:v>T(n=4)-PDF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T_n!$C$4:$C$43</c:f>
              <c:numCache>
                <c:formatCode>0.000</c:formatCode>
                <c:ptCount val="40"/>
                <c:pt idx="0">
                  <c:v>-5.0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-4.0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-3.0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-2.0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-1.0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0.0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1.0</c:v>
                </c:pt>
                <c:pt idx="25">
                  <c:v>1.25</c:v>
                </c:pt>
                <c:pt idx="26">
                  <c:v>1.5</c:v>
                </c:pt>
                <c:pt idx="27">
                  <c:v>1.75</c:v>
                </c:pt>
                <c:pt idx="28">
                  <c:v>2.0</c:v>
                </c:pt>
                <c:pt idx="29">
                  <c:v>2.25</c:v>
                </c:pt>
                <c:pt idx="30">
                  <c:v>2.5</c:v>
                </c:pt>
                <c:pt idx="31">
                  <c:v>2.75</c:v>
                </c:pt>
                <c:pt idx="32">
                  <c:v>3.0</c:v>
                </c:pt>
                <c:pt idx="33">
                  <c:v>3.25</c:v>
                </c:pt>
                <c:pt idx="34">
                  <c:v>3.5</c:v>
                </c:pt>
                <c:pt idx="35">
                  <c:v>3.75</c:v>
                </c:pt>
                <c:pt idx="36">
                  <c:v>4.0</c:v>
                </c:pt>
                <c:pt idx="37">
                  <c:v>4.25</c:v>
                </c:pt>
                <c:pt idx="38">
                  <c:v>4.5</c:v>
                </c:pt>
                <c:pt idx="39">
                  <c:v>4.75</c:v>
                </c:pt>
              </c:numCache>
            </c:numRef>
          </c:xVal>
          <c:yVal>
            <c:numRef>
              <c:f>T_n!$N$4:$N$43</c:f>
              <c:numCache>
                <c:formatCode>0.000000</c:formatCode>
                <c:ptCount val="40"/>
                <c:pt idx="0">
                  <c:v>0.00264963621655722</c:v>
                </c:pt>
                <c:pt idx="1">
                  <c:v>0.00329996153405836</c:v>
                </c:pt>
                <c:pt idx="2">
                  <c:v>0.00414382960369125</c:v>
                </c:pt>
                <c:pt idx="3">
                  <c:v>0.00524861163963032</c:v>
                </c:pt>
                <c:pt idx="4">
                  <c:v>0.00670820393249937</c:v>
                </c:pt>
                <c:pt idx="5">
                  <c:v>0.00865439266066935</c:v>
                </c:pt>
                <c:pt idx="6">
                  <c:v>0.0112732161141434</c:v>
                </c:pt>
                <c:pt idx="7">
                  <c:v>0.0148283012363539</c:v>
                </c:pt>
                <c:pt idx="8">
                  <c:v>0.0196934980908365</c:v>
                </c:pt>
                <c:pt idx="9">
                  <c:v>0.0263968364537289</c:v>
                </c:pt>
                <c:pt idx="10">
                  <c:v>0.0356756243695566</c:v>
                </c:pt>
                <c:pt idx="11">
                  <c:v>0.0485356887725449</c:v>
                </c:pt>
                <c:pt idx="12">
                  <c:v>0.0662912607362388</c:v>
                </c:pt>
                <c:pt idx="13">
                  <c:v>0.0905284519594145</c:v>
                </c:pt>
                <c:pt idx="14">
                  <c:v>0.12288</c:v>
                </c:pt>
                <c:pt idx="15">
                  <c:v>0.164439514575409</c:v>
                </c:pt>
                <c:pt idx="16">
                  <c:v>0.21466252583998</c:v>
                </c:pt>
                <c:pt idx="17">
                  <c:v>0.269882082331779</c:v>
                </c:pt>
                <c:pt idx="18">
                  <c:v>0.322261868560387</c:v>
                </c:pt>
                <c:pt idx="19">
                  <c:v>0.36074291565259</c:v>
                </c:pt>
                <c:pt idx="20">
                  <c:v>0.375</c:v>
                </c:pt>
                <c:pt idx="21">
                  <c:v>0.36074291565259</c:v>
                </c:pt>
                <c:pt idx="22">
                  <c:v>0.322261868560387</c:v>
                </c:pt>
                <c:pt idx="23">
                  <c:v>0.269882082331779</c:v>
                </c:pt>
                <c:pt idx="24">
                  <c:v>0.21466252583998</c:v>
                </c:pt>
                <c:pt idx="25">
                  <c:v>0.164439514575409</c:v>
                </c:pt>
                <c:pt idx="26">
                  <c:v>0.12288</c:v>
                </c:pt>
                <c:pt idx="27">
                  <c:v>0.0905284519594145</c:v>
                </c:pt>
                <c:pt idx="28">
                  <c:v>0.0662912607362388</c:v>
                </c:pt>
                <c:pt idx="29">
                  <c:v>0.0485356887725449</c:v>
                </c:pt>
                <c:pt idx="30">
                  <c:v>0.0356756243695566</c:v>
                </c:pt>
                <c:pt idx="31">
                  <c:v>0.0263968364537289</c:v>
                </c:pt>
                <c:pt idx="32">
                  <c:v>0.0196934980908365</c:v>
                </c:pt>
                <c:pt idx="33">
                  <c:v>0.0148283012363539</c:v>
                </c:pt>
                <c:pt idx="34">
                  <c:v>0.0112732161141434</c:v>
                </c:pt>
                <c:pt idx="35">
                  <c:v>0.00865439266066935</c:v>
                </c:pt>
                <c:pt idx="36">
                  <c:v>0.00670820393249937</c:v>
                </c:pt>
                <c:pt idx="37">
                  <c:v>0.00524861163963032</c:v>
                </c:pt>
                <c:pt idx="38">
                  <c:v>0.00414382960369125</c:v>
                </c:pt>
                <c:pt idx="39">
                  <c:v>0.00329996153405836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T_n!$Q$3</c:f>
              <c:strCache>
                <c:ptCount val="1"/>
                <c:pt idx="0">
                  <c:v>T(n=5)-PDF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T_n!$C$4:$C$43</c:f>
              <c:numCache>
                <c:formatCode>0.000</c:formatCode>
                <c:ptCount val="40"/>
                <c:pt idx="0">
                  <c:v>-5.0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-4.0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-3.0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-2.0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-1.0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0.0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1.0</c:v>
                </c:pt>
                <c:pt idx="25">
                  <c:v>1.25</c:v>
                </c:pt>
                <c:pt idx="26">
                  <c:v>1.5</c:v>
                </c:pt>
                <c:pt idx="27">
                  <c:v>1.75</c:v>
                </c:pt>
                <c:pt idx="28">
                  <c:v>2.0</c:v>
                </c:pt>
                <c:pt idx="29">
                  <c:v>2.25</c:v>
                </c:pt>
                <c:pt idx="30">
                  <c:v>2.5</c:v>
                </c:pt>
                <c:pt idx="31">
                  <c:v>2.75</c:v>
                </c:pt>
                <c:pt idx="32">
                  <c:v>3.0</c:v>
                </c:pt>
                <c:pt idx="33">
                  <c:v>3.25</c:v>
                </c:pt>
                <c:pt idx="34">
                  <c:v>3.5</c:v>
                </c:pt>
                <c:pt idx="35">
                  <c:v>3.75</c:v>
                </c:pt>
                <c:pt idx="36">
                  <c:v>4.0</c:v>
                </c:pt>
                <c:pt idx="37">
                  <c:v>4.25</c:v>
                </c:pt>
                <c:pt idx="38">
                  <c:v>4.5</c:v>
                </c:pt>
                <c:pt idx="39">
                  <c:v>4.75</c:v>
                </c:pt>
              </c:numCache>
            </c:numRef>
          </c:xVal>
          <c:yVal>
            <c:numRef>
              <c:f>T_n!$Q$4:$Q$43</c:f>
              <c:numCache>
                <c:formatCode>0.000000</c:formatCode>
                <c:ptCount val="40"/>
                <c:pt idx="0">
                  <c:v>0.00175743837880784</c:v>
                </c:pt>
                <c:pt idx="1">
                  <c:v>0.00226614685289448</c:v>
                </c:pt>
                <c:pt idx="2">
                  <c:v>0.00294754010583311</c:v>
                </c:pt>
                <c:pt idx="3">
                  <c:v>0.00386834072483253</c:v>
                </c:pt>
                <c:pt idx="4">
                  <c:v>0.00512372705191791</c:v>
                </c:pt>
                <c:pt idx="5">
                  <c:v>0.00685021654461359</c:v>
                </c:pt>
                <c:pt idx="6">
                  <c:v>0.00924435409252092</c:v>
                </c:pt>
                <c:pt idx="7">
                  <c:v>0.0125894215846057</c:v>
                </c:pt>
                <c:pt idx="8">
                  <c:v>0.017292578800223</c:v>
                </c:pt>
                <c:pt idx="9">
                  <c:v>0.0239340198082774</c:v>
                </c:pt>
                <c:pt idx="10">
                  <c:v>0.0333262388870228</c:v>
                </c:pt>
                <c:pt idx="11">
                  <c:v>0.046572139568152</c:v>
                </c:pt>
                <c:pt idx="12">
                  <c:v>0.0650903103262165</c:v>
                </c:pt>
                <c:pt idx="13">
                  <c:v>0.0905387902901245</c:v>
                </c:pt>
                <c:pt idx="14">
                  <c:v>0.124517344646355</c:v>
                </c:pt>
                <c:pt idx="15">
                  <c:v>0.167894288037246</c:v>
                </c:pt>
                <c:pt idx="16">
                  <c:v>0.219679797350981</c:v>
                </c:pt>
                <c:pt idx="17">
                  <c:v>0.275698116071937</c:v>
                </c:pt>
                <c:pt idx="18">
                  <c:v>0.327918531322747</c:v>
                </c:pt>
                <c:pt idx="19">
                  <c:v>0.365720042655943</c:v>
                </c:pt>
                <c:pt idx="20">
                  <c:v>0.379606689822494</c:v>
                </c:pt>
                <c:pt idx="21">
                  <c:v>0.365720042655943</c:v>
                </c:pt>
                <c:pt idx="22">
                  <c:v>0.327918531322747</c:v>
                </c:pt>
                <c:pt idx="23">
                  <c:v>0.275698116071937</c:v>
                </c:pt>
                <c:pt idx="24">
                  <c:v>0.219679797350981</c:v>
                </c:pt>
                <c:pt idx="25">
                  <c:v>0.167894288037246</c:v>
                </c:pt>
                <c:pt idx="26">
                  <c:v>0.124517344646355</c:v>
                </c:pt>
                <c:pt idx="27">
                  <c:v>0.0905387902901245</c:v>
                </c:pt>
                <c:pt idx="28">
                  <c:v>0.0650903103262165</c:v>
                </c:pt>
                <c:pt idx="29">
                  <c:v>0.046572139568152</c:v>
                </c:pt>
                <c:pt idx="30">
                  <c:v>0.0333262388870228</c:v>
                </c:pt>
                <c:pt idx="31">
                  <c:v>0.0239340198082774</c:v>
                </c:pt>
                <c:pt idx="32">
                  <c:v>0.017292578800223</c:v>
                </c:pt>
                <c:pt idx="33">
                  <c:v>0.0125894215846057</c:v>
                </c:pt>
                <c:pt idx="34">
                  <c:v>0.00924435409252092</c:v>
                </c:pt>
                <c:pt idx="35">
                  <c:v>0.00685021654461359</c:v>
                </c:pt>
                <c:pt idx="36">
                  <c:v>0.00512372705191791</c:v>
                </c:pt>
                <c:pt idx="37">
                  <c:v>0.00386834072483253</c:v>
                </c:pt>
                <c:pt idx="38">
                  <c:v>0.00294754010583311</c:v>
                </c:pt>
                <c:pt idx="39">
                  <c:v>0.00226614685289448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T_n!$E$3</c:f>
              <c:strCache>
                <c:ptCount val="1"/>
                <c:pt idx="0">
                  <c:v>T(n=1)-PDF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T_n!$C$4:$C$43</c:f>
              <c:numCache>
                <c:formatCode>0.000</c:formatCode>
                <c:ptCount val="40"/>
                <c:pt idx="0">
                  <c:v>-5.0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-4.0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-3.0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-2.0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-1.0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0.0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1.0</c:v>
                </c:pt>
                <c:pt idx="25">
                  <c:v>1.25</c:v>
                </c:pt>
                <c:pt idx="26">
                  <c:v>1.5</c:v>
                </c:pt>
                <c:pt idx="27">
                  <c:v>1.75</c:v>
                </c:pt>
                <c:pt idx="28">
                  <c:v>2.0</c:v>
                </c:pt>
                <c:pt idx="29">
                  <c:v>2.25</c:v>
                </c:pt>
                <c:pt idx="30">
                  <c:v>2.5</c:v>
                </c:pt>
                <c:pt idx="31">
                  <c:v>2.75</c:v>
                </c:pt>
                <c:pt idx="32">
                  <c:v>3.0</c:v>
                </c:pt>
                <c:pt idx="33">
                  <c:v>3.25</c:v>
                </c:pt>
                <c:pt idx="34">
                  <c:v>3.5</c:v>
                </c:pt>
                <c:pt idx="35">
                  <c:v>3.75</c:v>
                </c:pt>
                <c:pt idx="36">
                  <c:v>4.0</c:v>
                </c:pt>
                <c:pt idx="37">
                  <c:v>4.25</c:v>
                </c:pt>
                <c:pt idx="38">
                  <c:v>4.5</c:v>
                </c:pt>
                <c:pt idx="39">
                  <c:v>4.75</c:v>
                </c:pt>
              </c:numCache>
            </c:numRef>
          </c:xVal>
          <c:yVal>
            <c:numRef>
              <c:f>T_n!$E$4:$E$43</c:f>
              <c:numCache>
                <c:formatCode>0.000000</c:formatCode>
                <c:ptCount val="40"/>
                <c:pt idx="0">
                  <c:v>0.0122426879301458</c:v>
                </c:pt>
                <c:pt idx="1">
                  <c:v>0.0135091728884367</c:v>
                </c:pt>
                <c:pt idx="2">
                  <c:v>0.0149792887615901</c:v>
                </c:pt>
                <c:pt idx="3">
                  <c:v>0.0166982235375103</c:v>
                </c:pt>
                <c:pt idx="4">
                  <c:v>0.0187241109519877</c:v>
                </c:pt>
                <c:pt idx="5">
                  <c:v>0.021132606551621</c:v>
                </c:pt>
                <c:pt idx="6">
                  <c:v>0.0240233876365125</c:v>
                </c:pt>
                <c:pt idx="7">
                  <c:v>0.0275295036699495</c:v>
                </c:pt>
                <c:pt idx="8">
                  <c:v>0.0318309886183791</c:v>
                </c:pt>
                <c:pt idx="9">
                  <c:v>0.0371748772185449</c:v>
                </c:pt>
                <c:pt idx="10">
                  <c:v>0.0439048118874194</c:v>
                </c:pt>
                <c:pt idx="11">
                  <c:v>0.0525047234942335</c:v>
                </c:pt>
                <c:pt idx="12">
                  <c:v>0.0636619772367581</c:v>
                </c:pt>
                <c:pt idx="13">
                  <c:v>0.0783532027529331</c:v>
                </c:pt>
                <c:pt idx="14">
                  <c:v>0.0979415034411663</c:v>
                </c:pt>
                <c:pt idx="15">
                  <c:v>0.124218492169284</c:v>
                </c:pt>
                <c:pt idx="16">
                  <c:v>0.159154943091895</c:v>
                </c:pt>
                <c:pt idx="17">
                  <c:v>0.203718327157626</c:v>
                </c:pt>
                <c:pt idx="18">
                  <c:v>0.254647908947033</c:v>
                </c:pt>
                <c:pt idx="19">
                  <c:v>0.299585775231803</c:v>
                </c:pt>
                <c:pt idx="20">
                  <c:v>0.318309886183791</c:v>
                </c:pt>
                <c:pt idx="21">
                  <c:v>0.299585775231803</c:v>
                </c:pt>
                <c:pt idx="22">
                  <c:v>0.254647908947033</c:v>
                </c:pt>
                <c:pt idx="23">
                  <c:v>0.203718327157626</c:v>
                </c:pt>
                <c:pt idx="24">
                  <c:v>0.159154943091895</c:v>
                </c:pt>
                <c:pt idx="25">
                  <c:v>0.124218492169284</c:v>
                </c:pt>
                <c:pt idx="26">
                  <c:v>0.0979415034411663</c:v>
                </c:pt>
                <c:pt idx="27">
                  <c:v>0.0783532027529331</c:v>
                </c:pt>
                <c:pt idx="28">
                  <c:v>0.0636619772367581</c:v>
                </c:pt>
                <c:pt idx="29">
                  <c:v>0.0525047234942335</c:v>
                </c:pt>
                <c:pt idx="30">
                  <c:v>0.0439048118874194</c:v>
                </c:pt>
                <c:pt idx="31">
                  <c:v>0.0371748772185449</c:v>
                </c:pt>
                <c:pt idx="32">
                  <c:v>0.0318309886183791</c:v>
                </c:pt>
                <c:pt idx="33">
                  <c:v>0.0275295036699495</c:v>
                </c:pt>
                <c:pt idx="34">
                  <c:v>0.0240233876365125</c:v>
                </c:pt>
                <c:pt idx="35">
                  <c:v>0.021132606551621</c:v>
                </c:pt>
                <c:pt idx="36">
                  <c:v>0.0187241109519877</c:v>
                </c:pt>
                <c:pt idx="37">
                  <c:v>0.0166982235375103</c:v>
                </c:pt>
                <c:pt idx="38">
                  <c:v>0.0149792887615901</c:v>
                </c:pt>
                <c:pt idx="39">
                  <c:v>0.0135091728884367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24664"/>
        <c:axId val="2065327832"/>
      </c:scatterChart>
      <c:valAx>
        <c:axId val="2065324664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065327832"/>
        <c:crosses val="autoZero"/>
        <c:crossBetween val="midCat"/>
      </c:valAx>
      <c:valAx>
        <c:axId val="2065327832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20653246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607168107483068"/>
          <c:y val="0.0319767441860465"/>
          <c:w val="0.723853484435941"/>
          <c:h val="0.9218721388024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T_n!$I$3</c:f>
              <c:strCache>
                <c:ptCount val="1"/>
                <c:pt idx="0">
                  <c:v>T(n=2)-CDF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T_n!$C$4:$C$43</c:f>
              <c:numCache>
                <c:formatCode>0.000</c:formatCode>
                <c:ptCount val="40"/>
                <c:pt idx="0">
                  <c:v>-5.0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-4.0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-3.0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-2.0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-1.0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0.0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1.0</c:v>
                </c:pt>
                <c:pt idx="25">
                  <c:v>1.25</c:v>
                </c:pt>
                <c:pt idx="26">
                  <c:v>1.5</c:v>
                </c:pt>
                <c:pt idx="27">
                  <c:v>1.75</c:v>
                </c:pt>
                <c:pt idx="28">
                  <c:v>2.0</c:v>
                </c:pt>
                <c:pt idx="29">
                  <c:v>2.25</c:v>
                </c:pt>
                <c:pt idx="30">
                  <c:v>2.5</c:v>
                </c:pt>
                <c:pt idx="31">
                  <c:v>2.75</c:v>
                </c:pt>
                <c:pt idx="32">
                  <c:v>3.0</c:v>
                </c:pt>
                <c:pt idx="33">
                  <c:v>3.25</c:v>
                </c:pt>
                <c:pt idx="34">
                  <c:v>3.5</c:v>
                </c:pt>
                <c:pt idx="35">
                  <c:v>3.75</c:v>
                </c:pt>
                <c:pt idx="36">
                  <c:v>4.0</c:v>
                </c:pt>
                <c:pt idx="37">
                  <c:v>4.25</c:v>
                </c:pt>
                <c:pt idx="38">
                  <c:v>4.5</c:v>
                </c:pt>
                <c:pt idx="39">
                  <c:v>4.75</c:v>
                </c:pt>
              </c:numCache>
            </c:numRef>
          </c:xVal>
          <c:yVal>
            <c:numRef>
              <c:f>T_n!$I$4:$I$43</c:f>
              <c:numCache>
                <c:formatCode>0.000000</c:formatCode>
                <c:ptCount val="40"/>
                <c:pt idx="0">
                  <c:v>0.0188747756753119</c:v>
                </c:pt>
                <c:pt idx="1">
                  <c:v>0.0207883913099476</c:v>
                </c:pt>
                <c:pt idx="2">
                  <c:v>0.023000953997138</c:v>
                </c:pt>
                <c:pt idx="3">
                  <c:v>0.0255762636419446</c:v>
                </c:pt>
                <c:pt idx="4">
                  <c:v>0.0285954792089683</c:v>
                </c:pt>
                <c:pt idx="5">
                  <c:v>0.032162853836146</c:v>
                </c:pt>
                <c:pt idx="6">
                  <c:v>0.0364136750272346</c:v>
                </c:pt>
                <c:pt idx="7">
                  <c:v>0.0415253496919111</c:v>
                </c:pt>
                <c:pt idx="8">
                  <c:v>0.0477329831333546</c:v>
                </c:pt>
                <c:pt idx="9">
                  <c:v>0.0553513541000562</c:v>
                </c:pt>
                <c:pt idx="10">
                  <c:v>0.0648058601107554</c:v>
                </c:pt>
                <c:pt idx="11">
                  <c:v>0.0766756092273812</c:v>
                </c:pt>
                <c:pt idx="12">
                  <c:v>0.091751709536137</c:v>
                </c:pt>
                <c:pt idx="13">
                  <c:v>0.111111111111111</c:v>
                </c:pt>
                <c:pt idx="14">
                  <c:v>0.136196562445501</c:v>
                </c:pt>
                <c:pt idx="15">
                  <c:v>0.168866910733739</c:v>
                </c:pt>
                <c:pt idx="16">
                  <c:v>0.211324865405187</c:v>
                </c:pt>
                <c:pt idx="17">
                  <c:v>0.265739357167091</c:v>
                </c:pt>
                <c:pt idx="18">
                  <c:v>0.333333333333333</c:v>
                </c:pt>
                <c:pt idx="19">
                  <c:v>0.412961172022151</c:v>
                </c:pt>
                <c:pt idx="20">
                  <c:v>0.5</c:v>
                </c:pt>
                <c:pt idx="21">
                  <c:v>0.587038827977849</c:v>
                </c:pt>
                <c:pt idx="22">
                  <c:v>0.666666666666667</c:v>
                </c:pt>
                <c:pt idx="23">
                  <c:v>0.734260642832909</c:v>
                </c:pt>
                <c:pt idx="24">
                  <c:v>0.788675134594813</c:v>
                </c:pt>
                <c:pt idx="25">
                  <c:v>0.831133089266261</c:v>
                </c:pt>
                <c:pt idx="26">
                  <c:v>0.863803437554499</c:v>
                </c:pt>
                <c:pt idx="27">
                  <c:v>0.888888888888889</c:v>
                </c:pt>
                <c:pt idx="28">
                  <c:v>0.908248290463863</c:v>
                </c:pt>
                <c:pt idx="29">
                  <c:v>0.923324390772619</c:v>
                </c:pt>
                <c:pt idx="30">
                  <c:v>0.935194139889245</c:v>
                </c:pt>
                <c:pt idx="31">
                  <c:v>0.944648645899944</c:v>
                </c:pt>
                <c:pt idx="32">
                  <c:v>0.952267016866645</c:v>
                </c:pt>
                <c:pt idx="33">
                  <c:v>0.958474650308089</c:v>
                </c:pt>
                <c:pt idx="34">
                  <c:v>0.963586324972765</c:v>
                </c:pt>
                <c:pt idx="35">
                  <c:v>0.967837146163854</c:v>
                </c:pt>
                <c:pt idx="36">
                  <c:v>0.971404520791032</c:v>
                </c:pt>
                <c:pt idx="37">
                  <c:v>0.974423736358055</c:v>
                </c:pt>
                <c:pt idx="38">
                  <c:v>0.976999046002862</c:v>
                </c:pt>
                <c:pt idx="39">
                  <c:v>0.979211608690052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T_n!$L$3</c:f>
              <c:strCache>
                <c:ptCount val="1"/>
                <c:pt idx="0">
                  <c:v>T(n=3)-CDF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T_n!$C$4:$C$43</c:f>
              <c:numCache>
                <c:formatCode>0.000</c:formatCode>
                <c:ptCount val="40"/>
                <c:pt idx="0">
                  <c:v>-5.0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-4.0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-3.0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-2.0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-1.0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0.0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1.0</c:v>
                </c:pt>
                <c:pt idx="25">
                  <c:v>1.25</c:v>
                </c:pt>
                <c:pt idx="26">
                  <c:v>1.5</c:v>
                </c:pt>
                <c:pt idx="27">
                  <c:v>1.75</c:v>
                </c:pt>
                <c:pt idx="28">
                  <c:v>2.0</c:v>
                </c:pt>
                <c:pt idx="29">
                  <c:v>2.25</c:v>
                </c:pt>
                <c:pt idx="30">
                  <c:v>2.5</c:v>
                </c:pt>
                <c:pt idx="31">
                  <c:v>2.75</c:v>
                </c:pt>
                <c:pt idx="32">
                  <c:v>3.0</c:v>
                </c:pt>
                <c:pt idx="33">
                  <c:v>3.25</c:v>
                </c:pt>
                <c:pt idx="34">
                  <c:v>3.5</c:v>
                </c:pt>
                <c:pt idx="35">
                  <c:v>3.75</c:v>
                </c:pt>
                <c:pt idx="36">
                  <c:v>4.0</c:v>
                </c:pt>
                <c:pt idx="37">
                  <c:v>4.25</c:v>
                </c:pt>
                <c:pt idx="38">
                  <c:v>4.5</c:v>
                </c:pt>
                <c:pt idx="39">
                  <c:v>4.75</c:v>
                </c:pt>
              </c:numCache>
            </c:numRef>
          </c:xVal>
          <c:yVal>
            <c:numRef>
              <c:f>T_n!$L$4:$L$43</c:f>
              <c:numCache>
                <c:formatCode>0.000000</c:formatCode>
                <c:ptCount val="40"/>
                <c:pt idx="0">
                  <c:v>0.00769621903665115</c:v>
                </c:pt>
                <c:pt idx="1">
                  <c:v>0.00885254091607167</c:v>
                </c:pt>
                <c:pt idx="2">
                  <c:v>0.0102452061722267</c:v>
                </c:pt>
                <c:pt idx="3">
                  <c:v>0.0119355609083073</c:v>
                </c:pt>
                <c:pt idx="4">
                  <c:v>0.0140042280050731</c:v>
                </c:pt>
                <c:pt idx="5">
                  <c:v>0.0165581525104843</c:v>
                </c:pt>
                <c:pt idx="6">
                  <c:v>0.0197405188096414</c:v>
                </c:pt>
                <c:pt idx="7">
                  <c:v>0.0237447695216256</c:v>
                </c:pt>
                <c:pt idx="8">
                  <c:v>0.0288344428112187</c:v>
                </c:pt>
                <c:pt idx="9">
                  <c:v>0.0353711241430204</c:v>
                </c:pt>
                <c:pt idx="10">
                  <c:v>0.0438533235040328</c:v>
                </c:pt>
                <c:pt idx="11">
                  <c:v>0.0549690481983012</c:v>
                </c:pt>
                <c:pt idx="12">
                  <c:v>0.0696629842794216</c:v>
                </c:pt>
                <c:pt idx="13">
                  <c:v>0.0892127130491357</c:v>
                </c:pt>
                <c:pt idx="14">
                  <c:v>0.115291932622411</c:v>
                </c:pt>
                <c:pt idx="15">
                  <c:v>0.149964733975431</c:v>
                </c:pt>
                <c:pt idx="16">
                  <c:v>0.195501109477885</c:v>
                </c:pt>
                <c:pt idx="17">
                  <c:v>0.253857289712067</c:v>
                </c:pt>
                <c:pt idx="18">
                  <c:v>0.325723982424075</c:v>
                </c:pt>
                <c:pt idx="19">
                  <c:v>0.409364611214415</c:v>
                </c:pt>
                <c:pt idx="20">
                  <c:v>0.5</c:v>
                </c:pt>
                <c:pt idx="21">
                  <c:v>0.590635388785585</c:v>
                </c:pt>
                <c:pt idx="22">
                  <c:v>0.674276017575924</c:v>
                </c:pt>
                <c:pt idx="23">
                  <c:v>0.746142710287933</c:v>
                </c:pt>
                <c:pt idx="24">
                  <c:v>0.804498890522115</c:v>
                </c:pt>
                <c:pt idx="25">
                  <c:v>0.850035266024569</c:v>
                </c:pt>
                <c:pt idx="26">
                  <c:v>0.884708067377588</c:v>
                </c:pt>
                <c:pt idx="27">
                  <c:v>0.910787286950864</c:v>
                </c:pt>
                <c:pt idx="28">
                  <c:v>0.930337015720578</c:v>
                </c:pt>
                <c:pt idx="29">
                  <c:v>0.945030951801699</c:v>
                </c:pt>
                <c:pt idx="30">
                  <c:v>0.956146676495967</c:v>
                </c:pt>
                <c:pt idx="31">
                  <c:v>0.96462887585698</c:v>
                </c:pt>
                <c:pt idx="32">
                  <c:v>0.971165557188781</c:v>
                </c:pt>
                <c:pt idx="33">
                  <c:v>0.976255230478374</c:v>
                </c:pt>
                <c:pt idx="34">
                  <c:v>0.980259481190359</c:v>
                </c:pt>
                <c:pt idx="35">
                  <c:v>0.983441847489516</c:v>
                </c:pt>
                <c:pt idx="36">
                  <c:v>0.985995771994927</c:v>
                </c:pt>
                <c:pt idx="37">
                  <c:v>0.988064439091693</c:v>
                </c:pt>
                <c:pt idx="38">
                  <c:v>0.989754793827773</c:v>
                </c:pt>
                <c:pt idx="39">
                  <c:v>0.991147459083928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T_n!$O$3</c:f>
              <c:strCache>
                <c:ptCount val="1"/>
                <c:pt idx="0">
                  <c:v>T(n=4)-CDF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T_n!$C$4:$C$43</c:f>
              <c:numCache>
                <c:formatCode>0.000</c:formatCode>
                <c:ptCount val="40"/>
                <c:pt idx="0">
                  <c:v>-5.0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-4.0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-3.0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-2.0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-1.0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0.0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1.0</c:v>
                </c:pt>
                <c:pt idx="25">
                  <c:v>1.25</c:v>
                </c:pt>
                <c:pt idx="26">
                  <c:v>1.5</c:v>
                </c:pt>
                <c:pt idx="27">
                  <c:v>1.75</c:v>
                </c:pt>
                <c:pt idx="28">
                  <c:v>2.0</c:v>
                </c:pt>
                <c:pt idx="29">
                  <c:v>2.25</c:v>
                </c:pt>
                <c:pt idx="30">
                  <c:v>2.5</c:v>
                </c:pt>
                <c:pt idx="31">
                  <c:v>2.75</c:v>
                </c:pt>
                <c:pt idx="32">
                  <c:v>3.0</c:v>
                </c:pt>
                <c:pt idx="33">
                  <c:v>3.25</c:v>
                </c:pt>
                <c:pt idx="34">
                  <c:v>3.5</c:v>
                </c:pt>
                <c:pt idx="35">
                  <c:v>3.75</c:v>
                </c:pt>
                <c:pt idx="36">
                  <c:v>4.0</c:v>
                </c:pt>
                <c:pt idx="37">
                  <c:v>4.25</c:v>
                </c:pt>
                <c:pt idx="38">
                  <c:v>4.5</c:v>
                </c:pt>
                <c:pt idx="39">
                  <c:v>4.75</c:v>
                </c:pt>
              </c:numCache>
            </c:numRef>
          </c:xVal>
          <c:yVal>
            <c:numRef>
              <c:f>T_n!$O$4:$O$43</c:f>
              <c:numCache>
                <c:formatCode>0.000000</c:formatCode>
                <c:ptCount val="40"/>
                <c:pt idx="0">
                  <c:v>0.00374521694063726</c:v>
                </c:pt>
                <c:pt idx="1">
                  <c:v>0.00448545124929901</c:v>
                </c:pt>
                <c:pt idx="2">
                  <c:v>0.00541127523130412</c:v>
                </c:pt>
                <c:pt idx="3">
                  <c:v>0.00657903633515195</c:v>
                </c:pt>
                <c:pt idx="4">
                  <c:v>0.00806504495004627</c:v>
                </c:pt>
                <c:pt idx="5">
                  <c:v>0.00997353958884592</c:v>
                </c:pt>
                <c:pt idx="6">
                  <c:v>0.0124480817301114</c:v>
                </c:pt>
                <c:pt idx="7">
                  <c:v>0.015687867110077</c:v>
                </c:pt>
                <c:pt idx="8">
                  <c:v>0.0199709840358594</c:v>
                </c:pt>
                <c:pt idx="9">
                  <c:v>0.025687215422184</c:v>
                </c:pt>
                <c:pt idx="10">
                  <c:v>0.033383272405994</c:v>
                </c:pt>
                <c:pt idx="11">
                  <c:v>0.0438225882516973</c:v>
                </c:pt>
                <c:pt idx="12">
                  <c:v>0.0580582617584078</c:v>
                </c:pt>
                <c:pt idx="13">
                  <c:v>0.0775081055710834</c:v>
                </c:pt>
                <c:pt idx="14">
                  <c:v>0.104</c:v>
                </c:pt>
                <c:pt idx="15">
                  <c:v>0.139719821683232</c:v>
                </c:pt>
                <c:pt idx="16">
                  <c:v>0.18695048315003</c:v>
                </c:pt>
                <c:pt idx="17">
                  <c:v>0.247479716665883</c:v>
                </c:pt>
                <c:pt idx="18">
                  <c:v>0.321664981590932</c:v>
                </c:pt>
                <c:pt idx="19">
                  <c:v>0.407451005729591</c:v>
                </c:pt>
                <c:pt idx="20">
                  <c:v>0.5</c:v>
                </c:pt>
                <c:pt idx="21">
                  <c:v>0.592548994270409</c:v>
                </c:pt>
                <c:pt idx="22">
                  <c:v>0.678335018409068</c:v>
                </c:pt>
                <c:pt idx="23">
                  <c:v>0.752520283334117</c:v>
                </c:pt>
                <c:pt idx="24">
                  <c:v>0.81304951684997</c:v>
                </c:pt>
                <c:pt idx="25">
                  <c:v>0.860280178316768</c:v>
                </c:pt>
                <c:pt idx="26">
                  <c:v>0.896</c:v>
                </c:pt>
                <c:pt idx="27">
                  <c:v>0.922491894428917</c:v>
                </c:pt>
                <c:pt idx="28">
                  <c:v>0.941941738241592</c:v>
                </c:pt>
                <c:pt idx="29">
                  <c:v>0.956177411748303</c:v>
                </c:pt>
                <c:pt idx="30">
                  <c:v>0.966616727594006</c:v>
                </c:pt>
                <c:pt idx="31">
                  <c:v>0.974312784577816</c:v>
                </c:pt>
                <c:pt idx="32">
                  <c:v>0.980029015964141</c:v>
                </c:pt>
                <c:pt idx="33">
                  <c:v>0.984312132889923</c:v>
                </c:pt>
                <c:pt idx="34">
                  <c:v>0.987551918269889</c:v>
                </c:pt>
                <c:pt idx="35">
                  <c:v>0.990026460411154</c:v>
                </c:pt>
                <c:pt idx="36">
                  <c:v>0.991934955049954</c:v>
                </c:pt>
                <c:pt idx="37">
                  <c:v>0.993420963664848</c:v>
                </c:pt>
                <c:pt idx="38">
                  <c:v>0.994588724768696</c:v>
                </c:pt>
                <c:pt idx="39">
                  <c:v>0.995514548750701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T_n!$R$3</c:f>
              <c:strCache>
                <c:ptCount val="1"/>
                <c:pt idx="0">
                  <c:v>T(n=5)-CDF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T_n!$C$4:$C$43</c:f>
              <c:numCache>
                <c:formatCode>0.000</c:formatCode>
                <c:ptCount val="40"/>
                <c:pt idx="0">
                  <c:v>-5.0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-4.0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-3.0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-2.0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-1.0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0.0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1.0</c:v>
                </c:pt>
                <c:pt idx="25">
                  <c:v>1.25</c:v>
                </c:pt>
                <c:pt idx="26">
                  <c:v>1.5</c:v>
                </c:pt>
                <c:pt idx="27">
                  <c:v>1.75</c:v>
                </c:pt>
                <c:pt idx="28">
                  <c:v>2.0</c:v>
                </c:pt>
                <c:pt idx="29">
                  <c:v>2.25</c:v>
                </c:pt>
                <c:pt idx="30">
                  <c:v>2.5</c:v>
                </c:pt>
                <c:pt idx="31">
                  <c:v>2.75</c:v>
                </c:pt>
                <c:pt idx="32">
                  <c:v>3.0</c:v>
                </c:pt>
                <c:pt idx="33">
                  <c:v>3.25</c:v>
                </c:pt>
                <c:pt idx="34">
                  <c:v>3.5</c:v>
                </c:pt>
                <c:pt idx="35">
                  <c:v>3.75</c:v>
                </c:pt>
                <c:pt idx="36">
                  <c:v>4.0</c:v>
                </c:pt>
                <c:pt idx="37">
                  <c:v>4.25</c:v>
                </c:pt>
                <c:pt idx="38">
                  <c:v>4.5</c:v>
                </c:pt>
                <c:pt idx="39">
                  <c:v>4.75</c:v>
                </c:pt>
              </c:numCache>
            </c:numRef>
          </c:xVal>
          <c:yVal>
            <c:numRef>
              <c:f>T_n!$R$4:$R$43</c:f>
              <c:numCache>
                <c:formatCode>0.000000</c:formatCode>
                <c:ptCount val="40"/>
                <c:pt idx="0">
                  <c:v>0.00205235799002666</c:v>
                </c:pt>
                <c:pt idx="1">
                  <c:v>0.00255226071987243</c:v>
                </c:pt>
                <c:pt idx="2">
                  <c:v>0.00319976817316215</c:v>
                </c:pt>
                <c:pt idx="3">
                  <c:v>0.0040459036624313</c:v>
                </c:pt>
                <c:pt idx="4">
                  <c:v>0.00516170774041572</c:v>
                </c:pt>
                <c:pt idx="5">
                  <c:v>0.00664686167961025</c:v>
                </c:pt>
                <c:pt idx="6">
                  <c:v>0.00864221589264667</c:v>
                </c:pt>
                <c:pt idx="7">
                  <c:v>0.0113479429059578</c:v>
                </c:pt>
                <c:pt idx="8">
                  <c:v>0.0150496239487313</c:v>
                </c:pt>
                <c:pt idx="9">
                  <c:v>0.0201551112700127</c:v>
                </c:pt>
                <c:pt idx="10">
                  <c:v>0.0272450496711881</c:v>
                </c:pt>
                <c:pt idx="11">
                  <c:v>0.037138463191842</c:v>
                </c:pt>
                <c:pt idx="12">
                  <c:v>0.0509697394149292</c:v>
                </c:pt>
                <c:pt idx="13">
                  <c:v>0.0702611794942712</c:v>
                </c:pt>
                <c:pt idx="14">
                  <c:v>0.0969518401212367</c:v>
                </c:pt>
                <c:pt idx="15">
                  <c:v>0.133308111476256</c:v>
                </c:pt>
                <c:pt idx="16">
                  <c:v>0.181608733824561</c:v>
                </c:pt>
                <c:pt idx="17">
                  <c:v>0.243512124029655</c:v>
                </c:pt>
                <c:pt idx="18">
                  <c:v>0.319149435820465</c:v>
                </c:pt>
                <c:pt idx="19">
                  <c:v>0.406267065372062</c:v>
                </c:pt>
                <c:pt idx="20">
                  <c:v>0.5</c:v>
                </c:pt>
                <c:pt idx="21">
                  <c:v>0.593732934627938</c:v>
                </c:pt>
                <c:pt idx="22">
                  <c:v>0.680850564179535</c:v>
                </c:pt>
                <c:pt idx="23">
                  <c:v>0.756487875970345</c:v>
                </c:pt>
                <c:pt idx="24">
                  <c:v>0.818391266175439</c:v>
                </c:pt>
                <c:pt idx="25">
                  <c:v>0.866691888523744</c:v>
                </c:pt>
                <c:pt idx="26">
                  <c:v>0.903048159878763</c:v>
                </c:pt>
                <c:pt idx="27">
                  <c:v>0.929738820505729</c:v>
                </c:pt>
                <c:pt idx="28">
                  <c:v>0.949030260585071</c:v>
                </c:pt>
                <c:pt idx="29">
                  <c:v>0.962861536808158</c:v>
                </c:pt>
                <c:pt idx="30">
                  <c:v>0.972754950328812</c:v>
                </c:pt>
                <c:pt idx="31">
                  <c:v>0.979844888729987</c:v>
                </c:pt>
                <c:pt idx="32">
                  <c:v>0.984950376051269</c:v>
                </c:pt>
                <c:pt idx="33">
                  <c:v>0.988652057094042</c:v>
                </c:pt>
                <c:pt idx="34">
                  <c:v>0.991357784107353</c:v>
                </c:pt>
                <c:pt idx="35">
                  <c:v>0.99335313832039</c:v>
                </c:pt>
                <c:pt idx="36">
                  <c:v>0.994838292259584</c:v>
                </c:pt>
                <c:pt idx="37">
                  <c:v>0.995954096337569</c:v>
                </c:pt>
                <c:pt idx="38">
                  <c:v>0.996800231826838</c:v>
                </c:pt>
                <c:pt idx="39">
                  <c:v>0.997447739280127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T_n!$F$3</c:f>
              <c:strCache>
                <c:ptCount val="1"/>
                <c:pt idx="0">
                  <c:v>T(n=1)-CDF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T_n!$C$4:$C$43</c:f>
              <c:numCache>
                <c:formatCode>0.000</c:formatCode>
                <c:ptCount val="40"/>
                <c:pt idx="0">
                  <c:v>-5.0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-4.0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-3.0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-2.0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-1.0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0.0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1.0</c:v>
                </c:pt>
                <c:pt idx="25">
                  <c:v>1.25</c:v>
                </c:pt>
                <c:pt idx="26">
                  <c:v>1.5</c:v>
                </c:pt>
                <c:pt idx="27">
                  <c:v>1.75</c:v>
                </c:pt>
                <c:pt idx="28">
                  <c:v>2.0</c:v>
                </c:pt>
                <c:pt idx="29">
                  <c:v>2.25</c:v>
                </c:pt>
                <c:pt idx="30">
                  <c:v>2.5</c:v>
                </c:pt>
                <c:pt idx="31">
                  <c:v>2.75</c:v>
                </c:pt>
                <c:pt idx="32">
                  <c:v>3.0</c:v>
                </c:pt>
                <c:pt idx="33">
                  <c:v>3.25</c:v>
                </c:pt>
                <c:pt idx="34">
                  <c:v>3.5</c:v>
                </c:pt>
                <c:pt idx="35">
                  <c:v>3.75</c:v>
                </c:pt>
                <c:pt idx="36">
                  <c:v>4.0</c:v>
                </c:pt>
                <c:pt idx="37">
                  <c:v>4.25</c:v>
                </c:pt>
                <c:pt idx="38">
                  <c:v>4.5</c:v>
                </c:pt>
                <c:pt idx="39">
                  <c:v>4.75</c:v>
                </c:pt>
              </c:numCache>
            </c:numRef>
          </c:xVal>
          <c:yVal>
            <c:numRef>
              <c:f>T_n!$F$4:$F$43</c:f>
              <c:numCache>
                <c:formatCode>0.000000</c:formatCode>
                <c:ptCount val="40"/>
                <c:pt idx="0">
                  <c:v>0.0628329581890012</c:v>
                </c:pt>
                <c:pt idx="1">
                  <c:v>0.0660481002201554</c:v>
                </c:pt>
                <c:pt idx="2">
                  <c:v>0.0696044872730639</c:v>
                </c:pt>
                <c:pt idx="3">
                  <c:v>0.0735584439732622</c:v>
                </c:pt>
                <c:pt idx="4">
                  <c:v>0.0779791303773693</c:v>
                </c:pt>
                <c:pt idx="5">
                  <c:v>0.0829523176563197</c:v>
                </c:pt>
                <c:pt idx="6">
                  <c:v>0.0885855327829047</c:v>
                </c:pt>
                <c:pt idx="7">
                  <c:v>0.0950151609391798</c:v>
                </c:pt>
                <c:pt idx="8">
                  <c:v>0.102416382349567</c:v>
                </c:pt>
                <c:pt idx="9">
                  <c:v>0.111017258455</c:v>
                </c:pt>
                <c:pt idx="10">
                  <c:v>0.121118941590843</c:v>
                </c:pt>
                <c:pt idx="11">
                  <c:v>0.133124938747657</c:v>
                </c:pt>
                <c:pt idx="12">
                  <c:v>0.147583617650433</c:v>
                </c:pt>
                <c:pt idx="13">
                  <c:v>0.165249340538568</c:v>
                </c:pt>
                <c:pt idx="14">
                  <c:v>0.187167041810999</c:v>
                </c:pt>
                <c:pt idx="15">
                  <c:v>0.214776712522723</c:v>
                </c:pt>
                <c:pt idx="16">
                  <c:v>0.25</c:v>
                </c:pt>
                <c:pt idx="17">
                  <c:v>0.295167235300867</c:v>
                </c:pt>
                <c:pt idx="18">
                  <c:v>0.352416382349567</c:v>
                </c:pt>
                <c:pt idx="19">
                  <c:v>0.422020869622631</c:v>
                </c:pt>
                <c:pt idx="20">
                  <c:v>0.5</c:v>
                </c:pt>
                <c:pt idx="21">
                  <c:v>0.577979130377369</c:v>
                </c:pt>
                <c:pt idx="22">
                  <c:v>0.647583617650433</c:v>
                </c:pt>
                <c:pt idx="23">
                  <c:v>0.704832764699133</c:v>
                </c:pt>
                <c:pt idx="24">
                  <c:v>0.75</c:v>
                </c:pt>
                <c:pt idx="25">
                  <c:v>0.785223287477277</c:v>
                </c:pt>
                <c:pt idx="26">
                  <c:v>0.812832958189001</c:v>
                </c:pt>
                <c:pt idx="27">
                  <c:v>0.834750659461432</c:v>
                </c:pt>
                <c:pt idx="28">
                  <c:v>0.852416382349567</c:v>
                </c:pt>
                <c:pt idx="29">
                  <c:v>0.866875061252343</c:v>
                </c:pt>
                <c:pt idx="30">
                  <c:v>0.878881058409157</c:v>
                </c:pt>
                <c:pt idx="31">
                  <c:v>0.888982741545</c:v>
                </c:pt>
                <c:pt idx="32">
                  <c:v>0.897583617650433</c:v>
                </c:pt>
                <c:pt idx="33">
                  <c:v>0.90498483906082</c:v>
                </c:pt>
                <c:pt idx="34">
                  <c:v>0.911414467217095</c:v>
                </c:pt>
                <c:pt idx="35">
                  <c:v>0.91704768234368</c:v>
                </c:pt>
                <c:pt idx="36">
                  <c:v>0.922020869622631</c:v>
                </c:pt>
                <c:pt idx="37">
                  <c:v>0.926441556026738</c:v>
                </c:pt>
                <c:pt idx="38">
                  <c:v>0.930395512726936</c:v>
                </c:pt>
                <c:pt idx="39">
                  <c:v>0.933951899779845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410520"/>
        <c:axId val="2065413656"/>
      </c:scatterChart>
      <c:valAx>
        <c:axId val="2065410520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065413656"/>
        <c:crosses val="autoZero"/>
        <c:crossBetween val="midCat"/>
      </c:valAx>
      <c:valAx>
        <c:axId val="2065413656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20654105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114300</xdr:colOff>
      <xdr:row>1</xdr:row>
      <xdr:rowOff>0</xdr:rowOff>
    </xdr:from>
    <xdr:to>
      <xdr:col>28</xdr:col>
      <xdr:colOff>0</xdr:colOff>
      <xdr:row>21</xdr:row>
      <xdr:rowOff>139700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114300</xdr:colOff>
      <xdr:row>22</xdr:row>
      <xdr:rowOff>139700</xdr:rowOff>
    </xdr:from>
    <xdr:to>
      <xdr:col>28</xdr:col>
      <xdr:colOff>12700</xdr:colOff>
      <xdr:row>43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43"/>
  <sheetViews>
    <sheetView tabSelected="1" workbookViewId="0">
      <selection activeCell="N20" sqref="N20"/>
    </sheetView>
  </sheetViews>
  <sheetFormatPr baseColWidth="10" defaultRowHeight="15" x14ac:dyDescent="0"/>
  <cols>
    <col min="1" max="1" width="2.1640625" customWidth="1"/>
    <col min="4" max="4" width="2.5" customWidth="1"/>
    <col min="7" max="7" width="2.5" customWidth="1"/>
    <col min="10" max="10" width="2.1640625" customWidth="1"/>
    <col min="13" max="13" width="2.1640625" customWidth="1"/>
    <col min="16" max="16" width="2.1640625" customWidth="1"/>
  </cols>
  <sheetData>
    <row r="1" spans="2:18">
      <c r="B1" t="s">
        <v>0</v>
      </c>
      <c r="C1" s="2">
        <v>-4</v>
      </c>
    </row>
    <row r="2" spans="2:18">
      <c r="B2" t="s">
        <v>1</v>
      </c>
      <c r="C2" s="2">
        <v>0.25</v>
      </c>
      <c r="E2" s="2">
        <v>1</v>
      </c>
      <c r="H2" s="2">
        <v>2</v>
      </c>
      <c r="K2" s="2">
        <v>3</v>
      </c>
      <c r="N2" s="2">
        <v>4</v>
      </c>
      <c r="Q2" s="2">
        <v>5</v>
      </c>
    </row>
    <row r="3" spans="2:18">
      <c r="B3" s="1"/>
      <c r="C3" s="1"/>
      <c r="E3" s="1" t="str">
        <f>"T(n="&amp;E2&amp;")-PDF"</f>
        <v>T(n=1)-PDF</v>
      </c>
      <c r="F3" s="1" t="str">
        <f>"T(n="&amp;E2&amp;")-CDF"</f>
        <v>T(n=1)-CDF</v>
      </c>
      <c r="H3" s="1" t="str">
        <f>"T(n="&amp;H2&amp;")-PDF"</f>
        <v>T(n=2)-PDF</v>
      </c>
      <c r="I3" s="1" t="str">
        <f>"T(n="&amp;H2&amp;")-CDF"</f>
        <v>T(n=2)-CDF</v>
      </c>
      <c r="K3" s="1" t="str">
        <f>"T(n="&amp;K2&amp;")-PDF"</f>
        <v>T(n=3)-PDF</v>
      </c>
      <c r="L3" s="1" t="str">
        <f>"T(n="&amp;K2&amp;")-CDF"</f>
        <v>T(n=3)-CDF</v>
      </c>
      <c r="N3" s="1" t="str">
        <f>"T(n="&amp;N2&amp;")-PDF"</f>
        <v>T(n=4)-PDF</v>
      </c>
      <c r="O3" s="1" t="str">
        <f>"T(n="&amp;N2&amp;")-CDF"</f>
        <v>T(n=4)-CDF</v>
      </c>
      <c r="Q3" s="1" t="str">
        <f>"T(n="&amp;Q2&amp;")-PDF"</f>
        <v>T(n=5)-PDF</v>
      </c>
      <c r="R3" s="1" t="str">
        <f>"T(n="&amp;Q2&amp;")-CDF"</f>
        <v>T(n=5)-CDF</v>
      </c>
    </row>
    <row r="4" spans="2:18">
      <c r="B4">
        <v>1</v>
      </c>
      <c r="C4" s="3">
        <v>-5</v>
      </c>
      <c r="E4" s="4">
        <f>_xlfn.T.DIST($C4,E$2,0)</f>
        <v>1.2242687930145794E-2</v>
      </c>
      <c r="F4" s="4">
        <f>_xlfn.T.DIST($C4,E$2,1)</f>
        <v>6.2832958189001198E-2</v>
      </c>
      <c r="G4" s="4"/>
      <c r="H4" s="4">
        <f>_xlfn.T.DIST($C4,H$2,0)</f>
        <v>7.1277811011064901E-3</v>
      </c>
      <c r="I4" s="4">
        <f>_xlfn.T.DIST($C4,H$2,1)</f>
        <v>1.8874775675311858E-2</v>
      </c>
      <c r="J4" s="4"/>
      <c r="K4" s="4">
        <f>_xlfn.T.DIST($C4,K$2,0)</f>
        <v>4.219353791493307E-3</v>
      </c>
      <c r="L4" s="4">
        <f>_xlfn.T.DIST($C4,K$2,1)</f>
        <v>7.6962190366511472E-3</v>
      </c>
      <c r="M4" s="4"/>
      <c r="N4" s="4">
        <f>_xlfn.T.DIST($C4,N$2,0)</f>
        <v>2.6496362165572196E-3</v>
      </c>
      <c r="O4" s="4">
        <f>_xlfn.T.DIST($C4,N$2,1)</f>
        <v>3.7452169406372621E-3</v>
      </c>
      <c r="P4" s="4"/>
      <c r="Q4" s="4">
        <f>_xlfn.T.DIST($C4,Q$2,0)</f>
        <v>1.7574383788078454E-3</v>
      </c>
      <c r="R4" s="4">
        <f>_xlfn.T.DIST($C4,Q$2,1)</f>
        <v>2.0523579900266621E-3</v>
      </c>
    </row>
    <row r="5" spans="2:18">
      <c r="B5">
        <f t="shared" ref="B5:B43" si="0">B4+1</f>
        <v>2</v>
      </c>
      <c r="C5" s="3">
        <f t="shared" ref="C5" si="1">C4+C$2</f>
        <v>-4.75</v>
      </c>
      <c r="E5" s="4">
        <f>_xlfn.T.DIST($C5,E$2,0)</f>
        <v>1.3509172888436741E-2</v>
      </c>
      <c r="F5" s="4">
        <f>_xlfn.T.DIST($C5,E$2,1)</f>
        <v>6.604810022015542E-2</v>
      </c>
      <c r="G5" s="4"/>
      <c r="H5" s="4">
        <f>_xlfn.T.DIST($C5,H$2,0)</f>
        <v>8.2146894217659996E-3</v>
      </c>
      <c r="I5" s="4">
        <f>_xlfn.T.DIST($C5,H$2,1)</f>
        <v>2.0788391309947619E-2</v>
      </c>
      <c r="J5" s="4"/>
      <c r="K5" s="4">
        <f>_xlfn.T.DIST($C5,K$2,0)</f>
        <v>5.0623871412047577E-3</v>
      </c>
      <c r="L5" s="4">
        <f>_xlfn.T.DIST($C5,K$2,1)</f>
        <v>8.8525409160716672E-3</v>
      </c>
      <c r="M5" s="4"/>
      <c r="N5" s="4">
        <f>_xlfn.T.DIST($C5,N$2,0)</f>
        <v>3.2999615340583636E-3</v>
      </c>
      <c r="O5" s="4">
        <f>_xlfn.T.DIST($C5,N$2,1)</f>
        <v>4.4854512492990117E-3</v>
      </c>
      <c r="P5" s="4"/>
      <c r="Q5" s="4">
        <f>_xlfn.T.DIST($C5,Q$2,0)</f>
        <v>2.26614685289448E-3</v>
      </c>
      <c r="R5" s="4">
        <f>_xlfn.T.DIST($C5,Q$2,1)</f>
        <v>2.5522607198724327E-3</v>
      </c>
    </row>
    <row r="6" spans="2:18">
      <c r="B6">
        <f t="shared" si="0"/>
        <v>3</v>
      </c>
      <c r="C6" s="3">
        <f t="shared" ref="C6:C43" si="2">C5+C$2</f>
        <v>-4.5</v>
      </c>
      <c r="E6" s="4">
        <f t="shared" ref="E6:E43" si="3">_xlfn.T.DIST($C6,E$2,0)</f>
        <v>1.4979288761590149E-2</v>
      </c>
      <c r="F6" s="4">
        <f t="shared" ref="F6:F43" si="4">_xlfn.T.DIST($C6,E$2,1)</f>
        <v>6.9604487273063953E-2</v>
      </c>
      <c r="G6" s="4"/>
      <c r="H6" s="4">
        <f t="shared" ref="H6:H43" si="5">_xlfn.T.DIST($C6,H$2,0)</f>
        <v>9.5280708315178386E-3</v>
      </c>
      <c r="I6" s="4">
        <f t="shared" ref="I6:I43" si="6">_xlfn.T.DIST($C6,H$2,1)</f>
        <v>2.3000953997138009E-2</v>
      </c>
      <c r="J6" s="4"/>
      <c r="K6" s="4">
        <f t="shared" ref="K6:K43" si="7">_xlfn.T.DIST($C6,K$2,0)</f>
        <v>6.1195021344076835E-3</v>
      </c>
      <c r="L6" s="4">
        <f t="shared" ref="L6:L43" si="8">_xlfn.T.DIST($C6,K$2,1)</f>
        <v>1.0245206172226705E-2</v>
      </c>
      <c r="M6" s="4"/>
      <c r="N6" s="4">
        <f t="shared" ref="N6:N43" si="9">_xlfn.T.DIST($C6,N$2,0)</f>
        <v>4.1438296036912497E-3</v>
      </c>
      <c r="O6" s="4">
        <f t="shared" ref="O6:O43" si="10">_xlfn.T.DIST($C6,N$2,1)</f>
        <v>5.4112752313041244E-3</v>
      </c>
      <c r="P6" s="4"/>
      <c r="Q6" s="4">
        <f t="shared" ref="Q6:Q43" si="11">_xlfn.T.DIST($C6,Q$2,0)</f>
        <v>2.9475401058331073E-3</v>
      </c>
      <c r="R6" s="4">
        <f t="shared" ref="R6:R43" si="12">_xlfn.T.DIST($C6,Q$2,1)</f>
        <v>3.1997681731621469E-3</v>
      </c>
    </row>
    <row r="7" spans="2:18">
      <c r="B7">
        <f t="shared" si="0"/>
        <v>4</v>
      </c>
      <c r="C7" s="3">
        <f t="shared" si="2"/>
        <v>-4.25</v>
      </c>
      <c r="E7" s="4">
        <f t="shared" si="3"/>
        <v>1.669822353751033E-2</v>
      </c>
      <c r="F7" s="4">
        <f t="shared" si="4"/>
        <v>7.355844397326225E-2</v>
      </c>
      <c r="G7" s="4"/>
      <c r="H7" s="4">
        <f t="shared" si="5"/>
        <v>1.1128136018660634E-2</v>
      </c>
      <c r="I7" s="4">
        <f t="shared" si="6"/>
        <v>2.5576263641944562E-2</v>
      </c>
      <c r="J7" s="4"/>
      <c r="K7" s="4">
        <f t="shared" si="7"/>
        <v>7.4566226995735887E-3</v>
      </c>
      <c r="L7" s="4">
        <f t="shared" si="8"/>
        <v>1.1935560908307347E-2</v>
      </c>
      <c r="M7" s="4"/>
      <c r="N7" s="4">
        <f t="shared" si="9"/>
        <v>5.2486116396303255E-3</v>
      </c>
      <c r="O7" s="4">
        <f t="shared" si="10"/>
        <v>6.5790363351519512E-3</v>
      </c>
      <c r="P7" s="4"/>
      <c r="Q7" s="4">
        <f t="shared" si="11"/>
        <v>3.868340724832527E-3</v>
      </c>
      <c r="R7" s="4">
        <f t="shared" si="12"/>
        <v>4.0459036624313017E-3</v>
      </c>
    </row>
    <row r="8" spans="2:18">
      <c r="B8">
        <f t="shared" si="0"/>
        <v>5</v>
      </c>
      <c r="C8" s="3">
        <f t="shared" si="2"/>
        <v>-4</v>
      </c>
      <c r="E8" s="4">
        <f t="shared" si="3"/>
        <v>1.8724110951987685E-2</v>
      </c>
      <c r="F8" s="4">
        <f t="shared" si="4"/>
        <v>7.797913037736931E-2</v>
      </c>
      <c r="G8" s="4"/>
      <c r="H8" s="4">
        <f t="shared" si="5"/>
        <v>1.3094570021973112E-2</v>
      </c>
      <c r="I8" s="4">
        <f t="shared" si="6"/>
        <v>2.8595479208968322E-2</v>
      </c>
      <c r="J8" s="4"/>
      <c r="K8" s="4">
        <f t="shared" si="7"/>
        <v>9.1633611427444726E-3</v>
      </c>
      <c r="L8" s="4">
        <f t="shared" si="8"/>
        <v>1.4004228005073081E-2</v>
      </c>
      <c r="M8" s="4"/>
      <c r="N8" s="4">
        <f t="shared" si="9"/>
        <v>6.7082039324993705E-3</v>
      </c>
      <c r="O8" s="4">
        <f t="shared" si="10"/>
        <v>8.0650449500462677E-3</v>
      </c>
      <c r="P8" s="4"/>
      <c r="Q8" s="4">
        <f t="shared" si="11"/>
        <v>5.1237270519179116E-3</v>
      </c>
      <c r="R8" s="4">
        <f t="shared" si="12"/>
        <v>5.1617077404157259E-3</v>
      </c>
    </row>
    <row r="9" spans="2:18">
      <c r="B9">
        <f t="shared" si="0"/>
        <v>6</v>
      </c>
      <c r="C9" s="3">
        <f t="shared" si="2"/>
        <v>-3.75</v>
      </c>
      <c r="E9" s="4">
        <f t="shared" si="3"/>
        <v>2.1132606551620955E-2</v>
      </c>
      <c r="F9" s="4">
        <f t="shared" si="4"/>
        <v>8.2952317656319732E-2</v>
      </c>
      <c r="G9" s="4"/>
      <c r="H9" s="4">
        <f t="shared" si="5"/>
        <v>1.5533892272107209E-2</v>
      </c>
      <c r="I9" s="4">
        <f t="shared" si="6"/>
        <v>3.2162853836145977E-2</v>
      </c>
      <c r="J9" s="4"/>
      <c r="K9" s="4">
        <f t="shared" si="7"/>
        <v>1.1362572735014193E-2</v>
      </c>
      <c r="L9" s="4">
        <f t="shared" si="8"/>
        <v>1.6558152510484352E-2</v>
      </c>
      <c r="M9" s="4"/>
      <c r="N9" s="4">
        <f t="shared" si="9"/>
        <v>8.6543926606693477E-3</v>
      </c>
      <c r="O9" s="4">
        <f t="shared" si="10"/>
        <v>9.97353958884592E-3</v>
      </c>
      <c r="P9" s="4"/>
      <c r="Q9" s="4">
        <f t="shared" si="11"/>
        <v>6.8502165446135922E-3</v>
      </c>
      <c r="R9" s="4">
        <f t="shared" si="12"/>
        <v>6.6468616796102531E-3</v>
      </c>
    </row>
    <row r="10" spans="2:18">
      <c r="B10">
        <f t="shared" si="0"/>
        <v>7</v>
      </c>
      <c r="C10" s="3">
        <f t="shared" si="2"/>
        <v>-3.5</v>
      </c>
      <c r="E10" s="4">
        <f t="shared" si="3"/>
        <v>2.4023387636512503E-2</v>
      </c>
      <c r="F10" s="4">
        <f t="shared" si="4"/>
        <v>8.8585532782904763E-2</v>
      </c>
      <c r="G10" s="4"/>
      <c r="H10" s="4">
        <f t="shared" si="5"/>
        <v>1.8589927818456756E-2</v>
      </c>
      <c r="I10" s="4">
        <f t="shared" si="6"/>
        <v>3.6413675027234638E-2</v>
      </c>
      <c r="J10" s="4"/>
      <c r="K10" s="4">
        <f t="shared" si="7"/>
        <v>1.422401880152971E-2</v>
      </c>
      <c r="L10" s="4">
        <f t="shared" si="8"/>
        <v>1.9740518809641384E-2</v>
      </c>
      <c r="M10" s="4"/>
      <c r="N10" s="4">
        <f t="shared" si="9"/>
        <v>1.1273216114143444E-2</v>
      </c>
      <c r="O10" s="4">
        <f t="shared" si="10"/>
        <v>1.2448081730111376E-2</v>
      </c>
      <c r="P10" s="4"/>
      <c r="Q10" s="4">
        <f t="shared" si="11"/>
        <v>9.244354092520923E-3</v>
      </c>
      <c r="R10" s="4">
        <f t="shared" si="12"/>
        <v>8.642215892646677E-3</v>
      </c>
    </row>
    <row r="11" spans="2:18">
      <c r="B11">
        <f t="shared" si="0"/>
        <v>8</v>
      </c>
      <c r="C11" s="3">
        <f t="shared" si="2"/>
        <v>-3.25</v>
      </c>
      <c r="E11" s="4">
        <f t="shared" si="3"/>
        <v>2.7529503669949468E-2</v>
      </c>
      <c r="F11" s="4">
        <f t="shared" si="4"/>
        <v>9.5015160939179832E-2</v>
      </c>
      <c r="G11" s="4"/>
      <c r="H11" s="4">
        <f t="shared" si="5"/>
        <v>2.2458765878084715E-2</v>
      </c>
      <c r="I11" s="4">
        <f t="shared" si="6"/>
        <v>4.1525349691911129E-2</v>
      </c>
      <c r="J11" s="4"/>
      <c r="K11" s="4">
        <f t="shared" si="7"/>
        <v>1.79838430072389E-2</v>
      </c>
      <c r="L11" s="4">
        <f t="shared" si="8"/>
        <v>2.3744769521625617E-2</v>
      </c>
      <c r="M11" s="4"/>
      <c r="N11" s="4">
        <f t="shared" si="9"/>
        <v>1.4828301236353926E-2</v>
      </c>
      <c r="O11" s="4">
        <f t="shared" si="10"/>
        <v>1.5687867110076976E-2</v>
      </c>
      <c r="P11" s="4"/>
      <c r="Q11" s="4">
        <f t="shared" si="11"/>
        <v>1.2589421584605687E-2</v>
      </c>
      <c r="R11" s="4">
        <f t="shared" si="12"/>
        <v>1.1347942905957793E-2</v>
      </c>
    </row>
    <row r="12" spans="2:18">
      <c r="B12">
        <f t="shared" si="0"/>
        <v>9</v>
      </c>
      <c r="C12" s="3">
        <f t="shared" si="2"/>
        <v>-3</v>
      </c>
      <c r="E12" s="4">
        <f t="shared" si="3"/>
        <v>3.1830988618379068E-2</v>
      </c>
      <c r="F12" s="4">
        <f t="shared" si="4"/>
        <v>0.10241638234956675</v>
      </c>
      <c r="G12" s="4"/>
      <c r="H12" s="4">
        <f t="shared" si="5"/>
        <v>2.7410122234342141E-2</v>
      </c>
      <c r="I12" s="4">
        <f t="shared" si="6"/>
        <v>4.7732983133354612E-2</v>
      </c>
      <c r="J12" s="4"/>
      <c r="K12" s="4">
        <f t="shared" si="7"/>
        <v>2.2972037309241342E-2</v>
      </c>
      <c r="L12" s="4">
        <f t="shared" si="8"/>
        <v>2.8834442811218667E-2</v>
      </c>
      <c r="M12" s="4"/>
      <c r="N12" s="4">
        <f t="shared" si="9"/>
        <v>1.9693498090836536E-2</v>
      </c>
      <c r="O12" s="4">
        <f t="shared" si="10"/>
        <v>1.9970984035859413E-2</v>
      </c>
      <c r="P12" s="4"/>
      <c r="Q12" s="4">
        <f t="shared" si="11"/>
        <v>1.7292578800222964E-2</v>
      </c>
      <c r="R12" s="4">
        <f t="shared" si="12"/>
        <v>1.5049623948731293E-2</v>
      </c>
    </row>
    <row r="13" spans="2:18">
      <c r="B13">
        <f t="shared" si="0"/>
        <v>10</v>
      </c>
      <c r="C13" s="3">
        <f t="shared" si="2"/>
        <v>-2.75</v>
      </c>
      <c r="E13" s="4">
        <f t="shared" si="3"/>
        <v>3.7174877218544893E-2</v>
      </c>
      <c r="F13" s="4">
        <f t="shared" si="4"/>
        <v>0.11101725845499989</v>
      </c>
      <c r="G13" s="4"/>
      <c r="H13" s="4">
        <f t="shared" si="5"/>
        <v>3.3817603490904811E-2</v>
      </c>
      <c r="I13" s="4">
        <f t="shared" si="6"/>
        <v>5.5351354100056205E-2</v>
      </c>
      <c r="J13" s="4"/>
      <c r="K13" s="4">
        <f t="shared" si="7"/>
        <v>2.9650263764149469E-2</v>
      </c>
      <c r="L13" s="4">
        <f t="shared" si="8"/>
        <v>3.5371124143020384E-2</v>
      </c>
      <c r="M13" s="4"/>
      <c r="N13" s="4">
        <f t="shared" si="9"/>
        <v>2.6396836453728884E-2</v>
      </c>
      <c r="O13" s="4">
        <f t="shared" si="10"/>
        <v>2.5687215422184027E-2</v>
      </c>
      <c r="P13" s="4"/>
      <c r="Q13" s="4">
        <f t="shared" si="11"/>
        <v>2.3934019808277383E-2</v>
      </c>
      <c r="R13" s="4">
        <f t="shared" si="12"/>
        <v>2.0155111270012713E-2</v>
      </c>
    </row>
    <row r="14" spans="2:18">
      <c r="B14">
        <f t="shared" si="0"/>
        <v>11</v>
      </c>
      <c r="C14" s="3">
        <f t="shared" si="2"/>
        <v>-2.5</v>
      </c>
      <c r="E14" s="4">
        <f t="shared" si="3"/>
        <v>4.3904811887419404E-2</v>
      </c>
      <c r="F14" s="4">
        <f t="shared" si="4"/>
        <v>0.12111894159084341</v>
      </c>
      <c r="G14" s="4"/>
      <c r="H14" s="4">
        <f t="shared" si="5"/>
        <v>4.2200643868047963E-2</v>
      </c>
      <c r="I14" s="4">
        <f t="shared" si="6"/>
        <v>6.4805860110755398E-2</v>
      </c>
      <c r="J14" s="4"/>
      <c r="K14" s="4">
        <f t="shared" si="7"/>
        <v>3.8661485727167301E-2</v>
      </c>
      <c r="L14" s="4">
        <f t="shared" si="8"/>
        <v>4.3853323504032767E-2</v>
      </c>
      <c r="M14" s="4"/>
      <c r="N14" s="4">
        <f t="shared" si="9"/>
        <v>3.5675624369556645E-2</v>
      </c>
      <c r="O14" s="4">
        <f t="shared" si="10"/>
        <v>3.3383272405994056E-2</v>
      </c>
      <c r="P14" s="4"/>
      <c r="Q14" s="4">
        <f t="shared" si="11"/>
        <v>3.3326238887022831E-2</v>
      </c>
      <c r="R14" s="4">
        <f t="shared" si="12"/>
        <v>2.7245049671188116E-2</v>
      </c>
    </row>
    <row r="15" spans="2:18">
      <c r="B15">
        <f t="shared" si="0"/>
        <v>12</v>
      </c>
      <c r="C15" s="3">
        <f t="shared" si="2"/>
        <v>-2.25</v>
      </c>
      <c r="E15" s="4">
        <f t="shared" si="3"/>
        <v>5.2504723494233518E-2</v>
      </c>
      <c r="F15" s="4">
        <f t="shared" si="4"/>
        <v>0.13312493874765657</v>
      </c>
      <c r="G15" s="4"/>
      <c r="H15" s="4">
        <f t="shared" si="5"/>
        <v>5.3279765996947115E-2</v>
      </c>
      <c r="I15" s="4">
        <f t="shared" si="6"/>
        <v>7.6675609227381203E-2</v>
      </c>
      <c r="J15" s="4"/>
      <c r="K15" s="4">
        <f t="shared" si="7"/>
        <v>5.0888839815388075E-2</v>
      </c>
      <c r="L15" s="4">
        <f t="shared" si="8"/>
        <v>5.4969048198301257E-2</v>
      </c>
      <c r="M15" s="4"/>
      <c r="N15" s="4">
        <f t="shared" si="9"/>
        <v>4.853568877254489E-2</v>
      </c>
      <c r="O15" s="4">
        <f t="shared" si="10"/>
        <v>4.3822588251697353E-2</v>
      </c>
      <c r="P15" s="4"/>
      <c r="Q15" s="4">
        <f t="shared" si="11"/>
        <v>4.6572139568152052E-2</v>
      </c>
      <c r="R15" s="4">
        <f t="shared" si="12"/>
        <v>3.7138463191842004E-2</v>
      </c>
    </row>
    <row r="16" spans="2:18">
      <c r="B16">
        <f t="shared" si="0"/>
        <v>13</v>
      </c>
      <c r="C16" s="3">
        <f t="shared" si="2"/>
        <v>-2</v>
      </c>
      <c r="E16" s="4">
        <f t="shared" si="3"/>
        <v>6.3661977236758135E-2</v>
      </c>
      <c r="F16" s="4">
        <f t="shared" si="4"/>
        <v>0.14758361765043326</v>
      </c>
      <c r="G16" s="4"/>
      <c r="H16" s="4">
        <f t="shared" si="5"/>
        <v>6.8041381743977156E-2</v>
      </c>
      <c r="I16" s="4">
        <f t="shared" si="6"/>
        <v>9.1751709536136983E-2</v>
      </c>
      <c r="J16" s="4"/>
      <c r="K16" s="4">
        <f t="shared" si="7"/>
        <v>6.7509660663892967E-2</v>
      </c>
      <c r="L16" s="4">
        <f t="shared" si="8"/>
        <v>6.966298427942158E-2</v>
      </c>
      <c r="M16" s="4"/>
      <c r="N16" s="4">
        <f t="shared" si="9"/>
        <v>6.6291260736238825E-2</v>
      </c>
      <c r="O16" s="4">
        <f t="shared" si="10"/>
        <v>5.8058261758407774E-2</v>
      </c>
      <c r="P16" s="4"/>
      <c r="Q16" s="4">
        <f t="shared" si="11"/>
        <v>6.5090310326216497E-2</v>
      </c>
      <c r="R16" s="4">
        <f t="shared" si="12"/>
        <v>5.0969739414929181E-2</v>
      </c>
    </row>
    <row r="17" spans="2:18">
      <c r="B17">
        <f t="shared" si="0"/>
        <v>14</v>
      </c>
      <c r="C17" s="3">
        <f t="shared" si="2"/>
        <v>-1.75</v>
      </c>
      <c r="E17" s="4">
        <f t="shared" si="3"/>
        <v>7.8353202752933102E-2</v>
      </c>
      <c r="F17" s="4">
        <f t="shared" si="4"/>
        <v>0.16524934053856791</v>
      </c>
      <c r="G17" s="4"/>
      <c r="H17" s="4">
        <f t="shared" si="5"/>
        <v>8.77914951989026E-2</v>
      </c>
      <c r="I17" s="4">
        <f t="shared" si="6"/>
        <v>0.1111111111111111</v>
      </c>
      <c r="J17" s="4"/>
      <c r="K17" s="4">
        <f t="shared" si="7"/>
        <v>9.0003314206384633E-2</v>
      </c>
      <c r="L17" s="4">
        <f t="shared" si="8"/>
        <v>8.9212713049135722E-2</v>
      </c>
      <c r="M17" s="4"/>
      <c r="N17" s="4">
        <f t="shared" si="9"/>
        <v>9.0528451959414516E-2</v>
      </c>
      <c r="O17" s="4">
        <f t="shared" si="10"/>
        <v>7.7508105571083452E-2</v>
      </c>
      <c r="P17" s="4"/>
      <c r="Q17" s="4">
        <f t="shared" si="11"/>
        <v>9.0538790290124557E-2</v>
      </c>
      <c r="R17" s="4">
        <f t="shared" si="12"/>
        <v>7.02611794942712E-2</v>
      </c>
    </row>
    <row r="18" spans="2:18">
      <c r="B18">
        <f t="shared" si="0"/>
        <v>15</v>
      </c>
      <c r="C18" s="3">
        <f t="shared" si="2"/>
        <v>-1.5</v>
      </c>
      <c r="E18" s="4">
        <f t="shared" si="3"/>
        <v>9.7941503441166353E-2</v>
      </c>
      <c r="F18" s="4">
        <f t="shared" si="4"/>
        <v>0.1871670418109988</v>
      </c>
      <c r="G18" s="4"/>
      <c r="H18" s="4">
        <f t="shared" si="5"/>
        <v>0.11413441178180377</v>
      </c>
      <c r="I18" s="4">
        <f t="shared" si="6"/>
        <v>0.13619656244550055</v>
      </c>
      <c r="J18" s="4"/>
      <c r="K18" s="4">
        <f t="shared" si="7"/>
        <v>0.1200171745135874</v>
      </c>
      <c r="L18" s="4">
        <f t="shared" si="8"/>
        <v>0.11529193262241148</v>
      </c>
      <c r="M18" s="4"/>
      <c r="N18" s="4">
        <f t="shared" si="9"/>
        <v>0.12288</v>
      </c>
      <c r="O18" s="4">
        <f t="shared" si="10"/>
        <v>0.10399999999999993</v>
      </c>
      <c r="P18" s="4"/>
      <c r="Q18" s="4">
        <f t="shared" si="11"/>
        <v>0.12451734464635514</v>
      </c>
      <c r="R18" s="4">
        <f t="shared" si="12"/>
        <v>9.6951840121236754E-2</v>
      </c>
    </row>
    <row r="19" spans="2:18">
      <c r="B19">
        <f t="shared" si="0"/>
        <v>16</v>
      </c>
      <c r="C19" s="3">
        <f t="shared" si="2"/>
        <v>-1.25</v>
      </c>
      <c r="E19" s="4">
        <f t="shared" si="3"/>
        <v>0.12421849216928418</v>
      </c>
      <c r="F19" s="4">
        <f t="shared" si="4"/>
        <v>0.21477671252272276</v>
      </c>
      <c r="G19" s="4"/>
      <c r="H19" s="4">
        <f t="shared" si="5"/>
        <v>0.14871942254765402</v>
      </c>
      <c r="I19" s="4">
        <f t="shared" si="6"/>
        <v>0.16886691073373905</v>
      </c>
      <c r="J19" s="4"/>
      <c r="K19" s="4">
        <f t="shared" si="7"/>
        <v>0.15891183774964773</v>
      </c>
      <c r="L19" s="4">
        <f t="shared" si="8"/>
        <v>0.14996473397543125</v>
      </c>
      <c r="M19" s="4"/>
      <c r="N19" s="4">
        <f t="shared" si="9"/>
        <v>0.16443951457540906</v>
      </c>
      <c r="O19" s="4">
        <f t="shared" si="10"/>
        <v>0.1397198216832316</v>
      </c>
      <c r="P19" s="4"/>
      <c r="Q19" s="4">
        <f t="shared" si="11"/>
        <v>0.16789428803724626</v>
      </c>
      <c r="R19" s="4">
        <f t="shared" si="12"/>
        <v>0.13330811147625618</v>
      </c>
    </row>
    <row r="20" spans="2:18">
      <c r="B20">
        <f t="shared" si="0"/>
        <v>17</v>
      </c>
      <c r="C20" s="3">
        <f t="shared" si="2"/>
        <v>-1</v>
      </c>
      <c r="E20" s="4">
        <f t="shared" si="3"/>
        <v>0.15915494309189535</v>
      </c>
      <c r="F20" s="4">
        <f t="shared" si="4"/>
        <v>0.25000000000000006</v>
      </c>
      <c r="G20" s="4"/>
      <c r="H20" s="4">
        <f t="shared" si="5"/>
        <v>0.19245008972987526</v>
      </c>
      <c r="I20" s="4">
        <f t="shared" si="6"/>
        <v>0.21132486540518708</v>
      </c>
      <c r="J20" s="4"/>
      <c r="K20" s="4">
        <f t="shared" si="7"/>
        <v>0.20674833578317209</v>
      </c>
      <c r="L20" s="4">
        <f t="shared" si="8"/>
        <v>0.19550110947788529</v>
      </c>
      <c r="M20" s="4"/>
      <c r="N20" s="4">
        <f t="shared" si="9"/>
        <v>0.21466252583997977</v>
      </c>
      <c r="O20" s="4">
        <f t="shared" si="10"/>
        <v>0.18695048315002957</v>
      </c>
      <c r="P20" s="4"/>
      <c r="Q20" s="4">
        <f t="shared" si="11"/>
        <v>0.2196797973509807</v>
      </c>
      <c r="R20" s="4">
        <f t="shared" si="12"/>
        <v>0.18160873382456139</v>
      </c>
    </row>
    <row r="21" spans="2:18">
      <c r="B21">
        <f t="shared" si="0"/>
        <v>18</v>
      </c>
      <c r="C21" s="3">
        <f t="shared" si="2"/>
        <v>-0.75</v>
      </c>
      <c r="E21" s="4">
        <f t="shared" si="3"/>
        <v>0.20371832715762603</v>
      </c>
      <c r="F21" s="4">
        <f t="shared" si="4"/>
        <v>0.29516723530086658</v>
      </c>
      <c r="G21" s="4"/>
      <c r="H21" s="4">
        <f t="shared" si="5"/>
        <v>0.24378343319197041</v>
      </c>
      <c r="I21" s="4">
        <f t="shared" si="6"/>
        <v>0.26573935716709096</v>
      </c>
      <c r="J21" s="4"/>
      <c r="K21" s="4">
        <f t="shared" si="7"/>
        <v>0.26064671694917602</v>
      </c>
      <c r="L21" s="4">
        <f t="shared" si="8"/>
        <v>0.253857289712067</v>
      </c>
      <c r="M21" s="4"/>
      <c r="N21" s="4">
        <f t="shared" si="9"/>
        <v>0.2698820823317794</v>
      </c>
      <c r="O21" s="4">
        <f t="shared" si="10"/>
        <v>0.24747971666588256</v>
      </c>
      <c r="P21" s="4"/>
      <c r="Q21" s="4">
        <f t="shared" si="11"/>
        <v>0.27569811607193678</v>
      </c>
      <c r="R21" s="4">
        <f t="shared" si="12"/>
        <v>0.24351212402965455</v>
      </c>
    </row>
    <row r="22" spans="2:18">
      <c r="B22">
        <f t="shared" si="0"/>
        <v>19</v>
      </c>
      <c r="C22" s="3">
        <f t="shared" si="2"/>
        <v>-0.5</v>
      </c>
      <c r="E22" s="4">
        <f t="shared" si="3"/>
        <v>0.25464790894703254</v>
      </c>
      <c r="F22" s="4">
        <f t="shared" si="4"/>
        <v>0.35241638234956674</v>
      </c>
      <c r="G22" s="4"/>
      <c r="H22" s="4">
        <f t="shared" si="5"/>
        <v>0.29629629629629628</v>
      </c>
      <c r="I22" s="4">
        <f t="shared" si="6"/>
        <v>0.33333333333333331</v>
      </c>
      <c r="J22" s="4"/>
      <c r="K22" s="4">
        <f t="shared" si="7"/>
        <v>0.31318091100882872</v>
      </c>
      <c r="L22" s="4">
        <f t="shared" si="8"/>
        <v>0.32572398242407552</v>
      </c>
      <c r="M22" s="4"/>
      <c r="N22" s="4">
        <f t="shared" si="9"/>
        <v>0.32226186856038702</v>
      </c>
      <c r="O22" s="4">
        <f t="shared" si="10"/>
        <v>0.32166498159093165</v>
      </c>
      <c r="P22" s="4"/>
      <c r="Q22" s="4">
        <f t="shared" si="11"/>
        <v>0.32791853132274656</v>
      </c>
      <c r="R22" s="4">
        <f t="shared" si="12"/>
        <v>0.31914943582046457</v>
      </c>
    </row>
    <row r="23" spans="2:18">
      <c r="B23">
        <f t="shared" si="0"/>
        <v>20</v>
      </c>
      <c r="C23" s="3">
        <f t="shared" si="2"/>
        <v>-0.25</v>
      </c>
      <c r="E23" s="4">
        <f t="shared" si="3"/>
        <v>0.29958577523180296</v>
      </c>
      <c r="F23" s="4">
        <f t="shared" si="4"/>
        <v>0.42202086962263069</v>
      </c>
      <c r="G23" s="4"/>
      <c r="H23" s="4">
        <f t="shared" si="5"/>
        <v>0.3376051509443837</v>
      </c>
      <c r="I23" s="4">
        <f t="shared" si="6"/>
        <v>0.4129611720221511</v>
      </c>
      <c r="J23" s="4"/>
      <c r="K23" s="4">
        <f t="shared" si="7"/>
        <v>0.35270353326442017</v>
      </c>
      <c r="L23" s="4">
        <f t="shared" si="8"/>
        <v>0.40936461121441481</v>
      </c>
      <c r="M23" s="4"/>
      <c r="N23" s="4">
        <f t="shared" si="9"/>
        <v>0.3607429156525902</v>
      </c>
      <c r="O23" s="4">
        <f t="shared" si="10"/>
        <v>0.40745100572959059</v>
      </c>
      <c r="P23" s="4"/>
      <c r="Q23" s="4">
        <f t="shared" si="11"/>
        <v>0.36572004265594338</v>
      </c>
      <c r="R23" s="4">
        <f t="shared" si="12"/>
        <v>0.4062670653720617</v>
      </c>
    </row>
    <row r="24" spans="2:18">
      <c r="B24">
        <f t="shared" si="0"/>
        <v>21</v>
      </c>
      <c r="C24" s="3">
        <f t="shared" si="2"/>
        <v>0</v>
      </c>
      <c r="E24" s="4">
        <f t="shared" si="3"/>
        <v>0.31830988618379069</v>
      </c>
      <c r="F24" s="4">
        <f t="shared" si="4"/>
        <v>0.5</v>
      </c>
      <c r="G24" s="4"/>
      <c r="H24" s="4">
        <f t="shared" si="5"/>
        <v>0.35355339059327379</v>
      </c>
      <c r="I24" s="4">
        <f t="shared" si="6"/>
        <v>0.5</v>
      </c>
      <c r="J24" s="4"/>
      <c r="K24" s="4">
        <f t="shared" si="7"/>
        <v>0.36755259694786152</v>
      </c>
      <c r="L24" s="4">
        <f t="shared" si="8"/>
        <v>0.5</v>
      </c>
      <c r="M24" s="4"/>
      <c r="N24" s="4">
        <f t="shared" si="9"/>
        <v>0.37499999999999994</v>
      </c>
      <c r="O24" s="4">
        <f t="shared" si="10"/>
        <v>0.5</v>
      </c>
      <c r="P24" s="4"/>
      <c r="Q24" s="4">
        <f t="shared" si="11"/>
        <v>0.37960668982249451</v>
      </c>
      <c r="R24" s="4">
        <f t="shared" si="12"/>
        <v>0.5</v>
      </c>
    </row>
    <row r="25" spans="2:18">
      <c r="B25">
        <f t="shared" si="0"/>
        <v>22</v>
      </c>
      <c r="C25" s="3">
        <f t="shared" si="2"/>
        <v>0.25</v>
      </c>
      <c r="E25" s="4">
        <f t="shared" si="3"/>
        <v>0.29958577523180296</v>
      </c>
      <c r="F25" s="4">
        <f t="shared" si="4"/>
        <v>0.57797913037736937</v>
      </c>
      <c r="G25" s="4"/>
      <c r="H25" s="4">
        <f t="shared" si="5"/>
        <v>0.3376051509443837</v>
      </c>
      <c r="I25" s="5">
        <f t="shared" si="6"/>
        <v>0.5870388279778489</v>
      </c>
      <c r="J25" s="4"/>
      <c r="K25" s="4">
        <f t="shared" si="7"/>
        <v>0.35270353326442017</v>
      </c>
      <c r="L25" s="4">
        <f t="shared" si="8"/>
        <v>0.59063538878558519</v>
      </c>
      <c r="M25" s="4"/>
      <c r="N25" s="4">
        <f t="shared" si="9"/>
        <v>0.3607429156525902</v>
      </c>
      <c r="O25" s="4">
        <f t="shared" si="10"/>
        <v>0.59254899427040941</v>
      </c>
      <c r="P25" s="4"/>
      <c r="Q25" s="4">
        <f t="shared" si="11"/>
        <v>0.36572004265594338</v>
      </c>
      <c r="R25" s="4">
        <f t="shared" si="12"/>
        <v>0.5937329346279383</v>
      </c>
    </row>
    <row r="26" spans="2:18">
      <c r="B26">
        <f t="shared" si="0"/>
        <v>23</v>
      </c>
      <c r="C26" s="3">
        <f t="shared" si="2"/>
        <v>0.5</v>
      </c>
      <c r="E26" s="4">
        <f t="shared" si="3"/>
        <v>0.25464790894703254</v>
      </c>
      <c r="F26" s="4">
        <f t="shared" si="4"/>
        <v>0.64758361765043326</v>
      </c>
      <c r="G26" s="4"/>
      <c r="H26" s="4">
        <f t="shared" si="5"/>
        <v>0.29629629629629628</v>
      </c>
      <c r="I26" s="4">
        <f t="shared" si="6"/>
        <v>0.66666666666666674</v>
      </c>
      <c r="J26" s="4"/>
      <c r="K26" s="4">
        <f t="shared" si="7"/>
        <v>0.31318091100882872</v>
      </c>
      <c r="L26" s="4">
        <f t="shared" si="8"/>
        <v>0.67427601757592448</v>
      </c>
      <c r="M26" s="4"/>
      <c r="N26" s="4">
        <f t="shared" si="9"/>
        <v>0.32226186856038702</v>
      </c>
      <c r="O26" s="4">
        <f t="shared" si="10"/>
        <v>0.6783350184090684</v>
      </c>
      <c r="P26" s="4"/>
      <c r="Q26" s="4">
        <f t="shared" si="11"/>
        <v>0.32791853132274656</v>
      </c>
      <c r="R26" s="4">
        <f t="shared" si="12"/>
        <v>0.68085056417953549</v>
      </c>
    </row>
    <row r="27" spans="2:18">
      <c r="B27">
        <f t="shared" si="0"/>
        <v>24</v>
      </c>
      <c r="C27" s="3">
        <f t="shared" si="2"/>
        <v>0.75</v>
      </c>
      <c r="E27" s="4">
        <f t="shared" si="3"/>
        <v>0.20371832715762603</v>
      </c>
      <c r="F27" s="4">
        <f t="shared" si="4"/>
        <v>0.70483276469913347</v>
      </c>
      <c r="G27" s="4"/>
      <c r="H27" s="4">
        <f t="shared" si="5"/>
        <v>0.24378343319197041</v>
      </c>
      <c r="I27" s="4">
        <f t="shared" si="6"/>
        <v>0.73426064283290904</v>
      </c>
      <c r="J27" s="4"/>
      <c r="K27" s="4">
        <f t="shared" si="7"/>
        <v>0.26064671694917602</v>
      </c>
      <c r="L27" s="4">
        <f t="shared" si="8"/>
        <v>0.746142710287933</v>
      </c>
      <c r="M27" s="4"/>
      <c r="N27" s="4">
        <f t="shared" si="9"/>
        <v>0.2698820823317794</v>
      </c>
      <c r="O27" s="4">
        <f t="shared" si="10"/>
        <v>0.75252028333411747</v>
      </c>
      <c r="P27" s="4"/>
      <c r="Q27" s="4">
        <f t="shared" si="11"/>
        <v>0.27569811607193678</v>
      </c>
      <c r="R27" s="4">
        <f t="shared" si="12"/>
        <v>0.7564878759703455</v>
      </c>
    </row>
    <row r="28" spans="2:18">
      <c r="B28">
        <f t="shared" si="0"/>
        <v>25</v>
      </c>
      <c r="C28" s="3">
        <f t="shared" si="2"/>
        <v>1</v>
      </c>
      <c r="E28" s="4">
        <f t="shared" si="3"/>
        <v>0.15915494309189535</v>
      </c>
      <c r="F28" s="4">
        <f t="shared" si="4"/>
        <v>0.75</v>
      </c>
      <c r="G28" s="4"/>
      <c r="H28" s="4">
        <f t="shared" si="5"/>
        <v>0.19245008972987526</v>
      </c>
      <c r="I28" s="4">
        <f t="shared" si="6"/>
        <v>0.78867513459481287</v>
      </c>
      <c r="J28" s="4"/>
      <c r="K28" s="4">
        <f t="shared" si="7"/>
        <v>0.20674833578317209</v>
      </c>
      <c r="L28" s="4">
        <f t="shared" si="8"/>
        <v>0.80449889052211465</v>
      </c>
      <c r="M28" s="4"/>
      <c r="N28" s="4">
        <f t="shared" si="9"/>
        <v>0.21466252583997977</v>
      </c>
      <c r="O28" s="4">
        <f t="shared" si="10"/>
        <v>0.8130495168499704</v>
      </c>
      <c r="P28" s="4"/>
      <c r="Q28" s="4">
        <f t="shared" si="11"/>
        <v>0.2196797973509807</v>
      </c>
      <c r="R28" s="4">
        <f t="shared" si="12"/>
        <v>0.81839126617543867</v>
      </c>
    </row>
    <row r="29" spans="2:18">
      <c r="B29">
        <f t="shared" si="0"/>
        <v>26</v>
      </c>
      <c r="C29" s="3">
        <f t="shared" si="2"/>
        <v>1.25</v>
      </c>
      <c r="E29" s="4">
        <f t="shared" si="3"/>
        <v>0.12421849216928418</v>
      </c>
      <c r="F29" s="4">
        <f t="shared" si="4"/>
        <v>0.78522328747727721</v>
      </c>
      <c r="G29" s="4"/>
      <c r="H29" s="4">
        <f t="shared" si="5"/>
        <v>0.14871942254765402</v>
      </c>
      <c r="I29" s="4">
        <f t="shared" si="6"/>
        <v>0.83113308926626095</v>
      </c>
      <c r="J29" s="4"/>
      <c r="K29" s="4">
        <f t="shared" si="7"/>
        <v>0.15891183774964773</v>
      </c>
      <c r="L29" s="4">
        <f t="shared" si="8"/>
        <v>0.85003526602456869</v>
      </c>
      <c r="M29" s="4"/>
      <c r="N29" s="4">
        <f t="shared" si="9"/>
        <v>0.16443951457540906</v>
      </c>
      <c r="O29" s="4">
        <f t="shared" si="10"/>
        <v>0.8602801783167684</v>
      </c>
      <c r="P29" s="4"/>
      <c r="Q29" s="4">
        <f t="shared" si="11"/>
        <v>0.16789428803724626</v>
      </c>
      <c r="R29" s="4">
        <f t="shared" si="12"/>
        <v>0.86669188852374379</v>
      </c>
    </row>
    <row r="30" spans="2:18">
      <c r="B30">
        <f t="shared" si="0"/>
        <v>27</v>
      </c>
      <c r="C30" s="3">
        <f t="shared" si="2"/>
        <v>1.5</v>
      </c>
      <c r="E30" s="4">
        <f t="shared" si="3"/>
        <v>9.7941503441166353E-2</v>
      </c>
      <c r="F30" s="4">
        <f t="shared" si="4"/>
        <v>0.81283295818900125</v>
      </c>
      <c r="G30" s="4"/>
      <c r="H30" s="4">
        <f t="shared" si="5"/>
        <v>0.11413441178180377</v>
      </c>
      <c r="I30" s="4">
        <f t="shared" si="6"/>
        <v>0.8638034375544994</v>
      </c>
      <c r="J30" s="4"/>
      <c r="K30" s="4">
        <f t="shared" si="7"/>
        <v>0.1200171745135874</v>
      </c>
      <c r="L30" s="4">
        <f t="shared" si="8"/>
        <v>0.88470806737758856</v>
      </c>
      <c r="M30" s="4"/>
      <c r="N30" s="4">
        <f t="shared" si="9"/>
        <v>0.12288</v>
      </c>
      <c r="O30" s="4">
        <f t="shared" si="10"/>
        <v>0.89600000000000013</v>
      </c>
      <c r="P30" s="4"/>
      <c r="Q30" s="4">
        <f t="shared" si="11"/>
        <v>0.12451734464635514</v>
      </c>
      <c r="R30" s="4">
        <f t="shared" si="12"/>
        <v>0.90304815987876319</v>
      </c>
    </row>
    <row r="31" spans="2:18">
      <c r="B31">
        <f t="shared" si="0"/>
        <v>28</v>
      </c>
      <c r="C31" s="3">
        <f t="shared" si="2"/>
        <v>1.75</v>
      </c>
      <c r="E31" s="4">
        <f t="shared" si="3"/>
        <v>7.8353202752933102E-2</v>
      </c>
      <c r="F31" s="4">
        <f t="shared" si="4"/>
        <v>0.83475065946143212</v>
      </c>
      <c r="G31" s="4"/>
      <c r="H31" s="4">
        <f t="shared" si="5"/>
        <v>8.77914951989026E-2</v>
      </c>
      <c r="I31" s="4">
        <f t="shared" si="6"/>
        <v>0.88888888888888884</v>
      </c>
      <c r="J31" s="4"/>
      <c r="K31" s="4">
        <f t="shared" si="7"/>
        <v>9.0003314206384633E-2</v>
      </c>
      <c r="L31" s="4">
        <f t="shared" si="8"/>
        <v>0.91078728695086431</v>
      </c>
      <c r="M31" s="4"/>
      <c r="N31" s="4">
        <f t="shared" si="9"/>
        <v>9.0528451959414516E-2</v>
      </c>
      <c r="O31" s="4">
        <f t="shared" si="10"/>
        <v>0.92249189442891655</v>
      </c>
      <c r="P31" s="4"/>
      <c r="Q31" s="4">
        <f t="shared" si="11"/>
        <v>9.0538790290124557E-2</v>
      </c>
      <c r="R31" s="4">
        <f t="shared" si="12"/>
        <v>0.92973882050572876</v>
      </c>
    </row>
    <row r="32" spans="2:18">
      <c r="B32">
        <f t="shared" si="0"/>
        <v>29</v>
      </c>
      <c r="C32" s="3">
        <f t="shared" si="2"/>
        <v>2</v>
      </c>
      <c r="E32" s="4">
        <f t="shared" si="3"/>
        <v>6.3661977236758135E-2</v>
      </c>
      <c r="F32" s="4">
        <f t="shared" si="4"/>
        <v>0.85241638234956674</v>
      </c>
      <c r="G32" s="4"/>
      <c r="H32" s="4">
        <f t="shared" si="5"/>
        <v>6.8041381743977156E-2</v>
      </c>
      <c r="I32" s="4">
        <f t="shared" si="6"/>
        <v>0.90824829046386302</v>
      </c>
      <c r="J32" s="4"/>
      <c r="K32" s="4">
        <f t="shared" si="7"/>
        <v>6.7509660663892967E-2</v>
      </c>
      <c r="L32" s="4">
        <f t="shared" si="8"/>
        <v>0.93033701572057836</v>
      </c>
      <c r="M32" s="4"/>
      <c r="N32" s="4">
        <f t="shared" si="9"/>
        <v>6.6291260736238825E-2</v>
      </c>
      <c r="O32" s="4">
        <f t="shared" si="10"/>
        <v>0.94194173824159222</v>
      </c>
      <c r="P32" s="4"/>
      <c r="Q32" s="4">
        <f t="shared" si="11"/>
        <v>6.5090310326216497E-2</v>
      </c>
      <c r="R32" s="4">
        <f t="shared" si="12"/>
        <v>0.94903026058507078</v>
      </c>
    </row>
    <row r="33" spans="2:18">
      <c r="B33">
        <f t="shared" si="0"/>
        <v>30</v>
      </c>
      <c r="C33" s="3">
        <f t="shared" si="2"/>
        <v>2.25</v>
      </c>
      <c r="E33" s="4">
        <f t="shared" si="3"/>
        <v>5.2504723494233518E-2</v>
      </c>
      <c r="F33" s="4">
        <f t="shared" si="4"/>
        <v>0.86687506125234348</v>
      </c>
      <c r="G33" s="4"/>
      <c r="H33" s="4">
        <f t="shared" si="5"/>
        <v>5.3279765996947115E-2</v>
      </c>
      <c r="I33" s="4">
        <f t="shared" si="6"/>
        <v>0.92332439077261874</v>
      </c>
      <c r="J33" s="4"/>
      <c r="K33" s="4">
        <f t="shared" si="7"/>
        <v>5.0888839815388075E-2</v>
      </c>
      <c r="L33" s="4">
        <f t="shared" si="8"/>
        <v>0.94503095180169872</v>
      </c>
      <c r="M33" s="4"/>
      <c r="N33" s="4">
        <f t="shared" si="9"/>
        <v>4.853568877254489E-2</v>
      </c>
      <c r="O33" s="4">
        <f t="shared" si="10"/>
        <v>0.95617741174830262</v>
      </c>
      <c r="P33" s="4"/>
      <c r="Q33" s="4">
        <f t="shared" si="11"/>
        <v>4.6572139568152052E-2</v>
      </c>
      <c r="R33" s="4">
        <f t="shared" si="12"/>
        <v>0.962861536808158</v>
      </c>
    </row>
    <row r="34" spans="2:18">
      <c r="B34">
        <f t="shared" si="0"/>
        <v>31</v>
      </c>
      <c r="C34" s="3">
        <f t="shared" si="2"/>
        <v>2.5</v>
      </c>
      <c r="E34" s="4">
        <f t="shared" si="3"/>
        <v>4.3904811887419404E-2</v>
      </c>
      <c r="F34" s="4">
        <f t="shared" si="4"/>
        <v>0.87888105840915665</v>
      </c>
      <c r="G34" s="4"/>
      <c r="H34" s="4">
        <f t="shared" si="5"/>
        <v>4.2200643868047963E-2</v>
      </c>
      <c r="I34" s="4">
        <f t="shared" si="6"/>
        <v>0.9351941398892446</v>
      </c>
      <c r="J34" s="4"/>
      <c r="K34" s="4">
        <f t="shared" si="7"/>
        <v>3.8661485727167301E-2</v>
      </c>
      <c r="L34" s="4">
        <f t="shared" si="8"/>
        <v>0.95614667649596718</v>
      </c>
      <c r="M34" s="4"/>
      <c r="N34" s="4">
        <f t="shared" si="9"/>
        <v>3.5675624369556645E-2</v>
      </c>
      <c r="O34" s="4">
        <f t="shared" si="10"/>
        <v>0.96661672759400596</v>
      </c>
      <c r="P34" s="4"/>
      <c r="Q34" s="4">
        <f t="shared" si="11"/>
        <v>3.3326238887022831E-2</v>
      </c>
      <c r="R34" s="4">
        <f t="shared" si="12"/>
        <v>0.97275495032881187</v>
      </c>
    </row>
    <row r="35" spans="2:18">
      <c r="B35">
        <f t="shared" si="0"/>
        <v>32</v>
      </c>
      <c r="C35" s="3">
        <f t="shared" si="2"/>
        <v>2.75</v>
      </c>
      <c r="E35" s="4">
        <f t="shared" si="3"/>
        <v>3.7174877218544893E-2</v>
      </c>
      <c r="F35" s="4">
        <f t="shared" si="4"/>
        <v>0.88898274154500012</v>
      </c>
      <c r="G35" s="4"/>
      <c r="H35" s="4">
        <f t="shared" si="5"/>
        <v>3.3817603490904811E-2</v>
      </c>
      <c r="I35" s="4">
        <f t="shared" si="6"/>
        <v>0.9446486458999438</v>
      </c>
      <c r="J35" s="4"/>
      <c r="K35" s="4">
        <f t="shared" si="7"/>
        <v>2.9650263764149469E-2</v>
      </c>
      <c r="L35" s="4">
        <f t="shared" si="8"/>
        <v>0.96462887585697965</v>
      </c>
      <c r="M35" s="4"/>
      <c r="N35" s="4">
        <f t="shared" si="9"/>
        <v>2.6396836453728884E-2</v>
      </c>
      <c r="O35" s="4">
        <f t="shared" si="10"/>
        <v>0.974312784577816</v>
      </c>
      <c r="P35" s="4"/>
      <c r="Q35" s="4">
        <f t="shared" si="11"/>
        <v>2.3934019808277383E-2</v>
      </c>
      <c r="R35" s="4">
        <f t="shared" si="12"/>
        <v>0.97984488872998732</v>
      </c>
    </row>
    <row r="36" spans="2:18">
      <c r="B36">
        <f t="shared" si="0"/>
        <v>33</v>
      </c>
      <c r="C36" s="3">
        <f t="shared" si="2"/>
        <v>3</v>
      </c>
      <c r="E36" s="4">
        <f t="shared" si="3"/>
        <v>3.1830988618379068E-2</v>
      </c>
      <c r="F36" s="4">
        <f t="shared" si="4"/>
        <v>0.89758361765043326</v>
      </c>
      <c r="G36" s="4"/>
      <c r="H36" s="4">
        <f t="shared" si="5"/>
        <v>2.7410122234342141E-2</v>
      </c>
      <c r="I36" s="4">
        <f t="shared" si="6"/>
        <v>0.95226701686664539</v>
      </c>
      <c r="J36" s="4"/>
      <c r="K36" s="4">
        <f t="shared" si="7"/>
        <v>2.2972037309241342E-2</v>
      </c>
      <c r="L36" s="4">
        <f t="shared" si="8"/>
        <v>0.97116555718878128</v>
      </c>
      <c r="M36" s="4"/>
      <c r="N36" s="4">
        <f t="shared" si="9"/>
        <v>1.9693498090836536E-2</v>
      </c>
      <c r="O36" s="4">
        <f t="shared" si="10"/>
        <v>0.9800290159641406</v>
      </c>
      <c r="P36" s="4"/>
      <c r="Q36" s="4">
        <f t="shared" si="11"/>
        <v>1.7292578800222964E-2</v>
      </c>
      <c r="R36" s="4">
        <f t="shared" si="12"/>
        <v>0.98495037605126867</v>
      </c>
    </row>
    <row r="37" spans="2:18">
      <c r="B37">
        <f t="shared" si="0"/>
        <v>34</v>
      </c>
      <c r="C37" s="3">
        <f t="shared" si="2"/>
        <v>3.25</v>
      </c>
      <c r="E37" s="4">
        <f t="shared" si="3"/>
        <v>2.7529503669949468E-2</v>
      </c>
      <c r="F37" s="4">
        <f t="shared" si="4"/>
        <v>0.90498483906082017</v>
      </c>
      <c r="G37" s="4"/>
      <c r="H37" s="4">
        <f t="shared" si="5"/>
        <v>2.2458765878084715E-2</v>
      </c>
      <c r="I37" s="4">
        <f t="shared" si="6"/>
        <v>0.95847465030808887</v>
      </c>
      <c r="J37" s="4"/>
      <c r="K37" s="4">
        <f t="shared" si="7"/>
        <v>1.79838430072389E-2</v>
      </c>
      <c r="L37" s="4">
        <f t="shared" si="8"/>
        <v>0.97625523047837437</v>
      </c>
      <c r="M37" s="4"/>
      <c r="N37" s="4">
        <f t="shared" si="9"/>
        <v>1.4828301236353926E-2</v>
      </c>
      <c r="O37" s="4">
        <f t="shared" si="10"/>
        <v>0.98431213288992303</v>
      </c>
      <c r="P37" s="4"/>
      <c r="Q37" s="4">
        <f t="shared" si="11"/>
        <v>1.2589421584605687E-2</v>
      </c>
      <c r="R37" s="4">
        <f t="shared" si="12"/>
        <v>0.98865205709404225</v>
      </c>
    </row>
    <row r="38" spans="2:18">
      <c r="B38">
        <f t="shared" si="0"/>
        <v>35</v>
      </c>
      <c r="C38" s="3">
        <f t="shared" si="2"/>
        <v>3.5</v>
      </c>
      <c r="E38" s="4">
        <f t="shared" si="3"/>
        <v>2.4023387636512503E-2</v>
      </c>
      <c r="F38" s="4">
        <f t="shared" si="4"/>
        <v>0.91141446721709518</v>
      </c>
      <c r="G38" s="4"/>
      <c r="H38" s="4">
        <f t="shared" si="5"/>
        <v>1.8589927818456756E-2</v>
      </c>
      <c r="I38" s="4">
        <f t="shared" si="6"/>
        <v>0.96358632497276542</v>
      </c>
      <c r="J38" s="4"/>
      <c r="K38" s="4">
        <f t="shared" si="7"/>
        <v>1.422401880152971E-2</v>
      </c>
      <c r="L38" s="4">
        <f t="shared" si="8"/>
        <v>0.98025948119035866</v>
      </c>
      <c r="M38" s="4"/>
      <c r="N38" s="4">
        <f t="shared" si="9"/>
        <v>1.1273216114143444E-2</v>
      </c>
      <c r="O38" s="4">
        <f t="shared" si="10"/>
        <v>0.98755191826988864</v>
      </c>
      <c r="P38" s="4"/>
      <c r="Q38" s="4">
        <f t="shared" si="11"/>
        <v>9.244354092520923E-3</v>
      </c>
      <c r="R38" s="4">
        <f t="shared" si="12"/>
        <v>0.99135778410735331</v>
      </c>
    </row>
    <row r="39" spans="2:18">
      <c r="B39">
        <f t="shared" si="0"/>
        <v>36</v>
      </c>
      <c r="C39" s="3">
        <f t="shared" si="2"/>
        <v>3.75</v>
      </c>
      <c r="E39" s="4">
        <f t="shared" si="3"/>
        <v>2.1132606551620955E-2</v>
      </c>
      <c r="F39" s="4">
        <f t="shared" si="4"/>
        <v>0.91704768234368028</v>
      </c>
      <c r="G39" s="4"/>
      <c r="H39" s="4">
        <f t="shared" si="5"/>
        <v>1.5533892272107209E-2</v>
      </c>
      <c r="I39" s="4">
        <f t="shared" si="6"/>
        <v>0.96783714616385397</v>
      </c>
      <c r="J39" s="4"/>
      <c r="K39" s="4">
        <f t="shared" si="7"/>
        <v>1.1362572735014193E-2</v>
      </c>
      <c r="L39" s="4">
        <f t="shared" si="8"/>
        <v>0.98344184748951569</v>
      </c>
      <c r="M39" s="4"/>
      <c r="N39" s="4">
        <f t="shared" si="9"/>
        <v>8.6543926606693477E-3</v>
      </c>
      <c r="O39" s="4">
        <f t="shared" si="10"/>
        <v>0.99002646041115405</v>
      </c>
      <c r="P39" s="4"/>
      <c r="Q39" s="4">
        <f t="shared" si="11"/>
        <v>6.8502165446135922E-3</v>
      </c>
      <c r="R39" s="4">
        <f t="shared" si="12"/>
        <v>0.99335313832038974</v>
      </c>
    </row>
    <row r="40" spans="2:18">
      <c r="B40">
        <f t="shared" si="0"/>
        <v>37</v>
      </c>
      <c r="C40" s="3">
        <f t="shared" si="2"/>
        <v>4</v>
      </c>
      <c r="E40" s="4">
        <f t="shared" si="3"/>
        <v>1.8724110951987685E-2</v>
      </c>
      <c r="F40" s="4">
        <f t="shared" si="4"/>
        <v>0.92202086962263063</v>
      </c>
      <c r="G40" s="4"/>
      <c r="H40" s="4">
        <f t="shared" si="5"/>
        <v>1.3094570021973112E-2</v>
      </c>
      <c r="I40" s="4">
        <f t="shared" si="6"/>
        <v>0.97140452079103168</v>
      </c>
      <c r="J40" s="4"/>
      <c r="K40" s="4">
        <f t="shared" si="7"/>
        <v>9.1633611427444726E-3</v>
      </c>
      <c r="L40" s="4">
        <f t="shared" si="8"/>
        <v>0.98599577199492694</v>
      </c>
      <c r="M40" s="4"/>
      <c r="N40" s="4">
        <f t="shared" si="9"/>
        <v>6.7082039324993705E-3</v>
      </c>
      <c r="O40" s="4">
        <f t="shared" si="10"/>
        <v>0.99193495504995377</v>
      </c>
      <c r="P40" s="4"/>
      <c r="Q40" s="4">
        <f t="shared" si="11"/>
        <v>5.1237270519179116E-3</v>
      </c>
      <c r="R40" s="4">
        <f t="shared" si="12"/>
        <v>0.99483829225958431</v>
      </c>
    </row>
    <row r="41" spans="2:18">
      <c r="B41">
        <f t="shared" si="0"/>
        <v>38</v>
      </c>
      <c r="C41" s="3">
        <f t="shared" si="2"/>
        <v>4.25</v>
      </c>
      <c r="E41" s="4">
        <f t="shared" si="3"/>
        <v>1.669822353751033E-2</v>
      </c>
      <c r="F41" s="4">
        <f t="shared" si="4"/>
        <v>0.92644155602673772</v>
      </c>
      <c r="G41" s="4"/>
      <c r="H41" s="4">
        <f t="shared" si="5"/>
        <v>1.1128136018660634E-2</v>
      </c>
      <c r="I41" s="4">
        <f t="shared" si="6"/>
        <v>0.97442373635805546</v>
      </c>
      <c r="J41" s="4"/>
      <c r="K41" s="4">
        <f t="shared" si="7"/>
        <v>7.4566226995735887E-3</v>
      </c>
      <c r="L41" s="4">
        <f t="shared" si="8"/>
        <v>0.98806443909169261</v>
      </c>
      <c r="M41" s="4"/>
      <c r="N41" s="4">
        <f t="shared" si="9"/>
        <v>5.2486116396303255E-3</v>
      </c>
      <c r="O41" s="4">
        <f t="shared" si="10"/>
        <v>0.993420963664848</v>
      </c>
      <c r="P41" s="4"/>
      <c r="Q41" s="4">
        <f t="shared" si="11"/>
        <v>3.868340724832527E-3</v>
      </c>
      <c r="R41" s="4">
        <f t="shared" si="12"/>
        <v>0.99595409633756871</v>
      </c>
    </row>
    <row r="42" spans="2:18">
      <c r="B42">
        <f t="shared" si="0"/>
        <v>39</v>
      </c>
      <c r="C42" s="3">
        <f t="shared" si="2"/>
        <v>4.5</v>
      </c>
      <c r="E42" s="4">
        <f t="shared" si="3"/>
        <v>1.4979288761590149E-2</v>
      </c>
      <c r="F42" s="4">
        <f t="shared" si="4"/>
        <v>0.9303955127269361</v>
      </c>
      <c r="G42" s="4"/>
      <c r="H42" s="4">
        <f t="shared" si="5"/>
        <v>9.5280708315178386E-3</v>
      </c>
      <c r="I42" s="4">
        <f t="shared" si="6"/>
        <v>0.97699904600286203</v>
      </c>
      <c r="J42" s="4"/>
      <c r="K42" s="4">
        <f t="shared" si="7"/>
        <v>6.1195021344076835E-3</v>
      </c>
      <c r="L42" s="4">
        <f t="shared" si="8"/>
        <v>0.98975479382777332</v>
      </c>
      <c r="M42" s="4"/>
      <c r="N42" s="4">
        <f t="shared" si="9"/>
        <v>4.1438296036912497E-3</v>
      </c>
      <c r="O42" s="4">
        <f t="shared" si="10"/>
        <v>0.99458872476869586</v>
      </c>
      <c r="P42" s="4"/>
      <c r="Q42" s="4">
        <f t="shared" si="11"/>
        <v>2.9475401058331073E-3</v>
      </c>
      <c r="R42" s="4">
        <f t="shared" si="12"/>
        <v>0.99680023182683786</v>
      </c>
    </row>
    <row r="43" spans="2:18">
      <c r="B43">
        <f t="shared" si="0"/>
        <v>40</v>
      </c>
      <c r="C43" s="3">
        <f t="shared" si="2"/>
        <v>4.75</v>
      </c>
      <c r="E43" s="4">
        <f t="shared" si="3"/>
        <v>1.3509172888436741E-2</v>
      </c>
      <c r="F43" s="4">
        <f t="shared" si="4"/>
        <v>0.93395189977984461</v>
      </c>
      <c r="G43" s="4"/>
      <c r="H43" s="4">
        <f t="shared" si="5"/>
        <v>8.2146894217659996E-3</v>
      </c>
      <c r="I43" s="4">
        <f t="shared" si="6"/>
        <v>0.97921160869005242</v>
      </c>
      <c r="J43" s="4"/>
      <c r="K43" s="4">
        <f t="shared" si="7"/>
        <v>5.0623871412047577E-3</v>
      </c>
      <c r="L43" s="4">
        <f t="shared" si="8"/>
        <v>0.99114745908392832</v>
      </c>
      <c r="M43" s="4"/>
      <c r="N43" s="4">
        <f t="shared" si="9"/>
        <v>3.2999615340583636E-3</v>
      </c>
      <c r="O43" s="4">
        <f t="shared" si="10"/>
        <v>0.995514548750701</v>
      </c>
      <c r="P43" s="4"/>
      <c r="Q43" s="4">
        <f t="shared" si="11"/>
        <v>2.26614685289448E-3</v>
      </c>
      <c r="R43" s="4">
        <f t="shared" si="12"/>
        <v>0.99744773928012753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T_n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Drouin</dc:creator>
  <cp:lastModifiedBy>Jerome Drouin</cp:lastModifiedBy>
  <dcterms:created xsi:type="dcterms:W3CDTF">2019-01-22T10:36:21Z</dcterms:created>
  <dcterms:modified xsi:type="dcterms:W3CDTF">2019-02-01T13:45:00Z</dcterms:modified>
</cp:coreProperties>
</file>